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0810f15b21daff0/Área de Trabalho/"/>
    </mc:Choice>
  </mc:AlternateContent>
  <xr:revisionPtr revIDLastSave="35" documentId="11_5A8501C8535AFEDEE54878D6425DCE3A874D9528" xr6:coauthVersionLast="47" xr6:coauthVersionMax="47" xr10:uidLastSave="{7A16A167-311C-4685-B0EF-C3FBDD89256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2" i="1"/>
</calcChain>
</file>

<file path=xl/sharedStrings.xml><?xml version="1.0" encoding="utf-8"?>
<sst xmlns="http://schemas.openxmlformats.org/spreadsheetml/2006/main" count="365" uniqueCount="112">
  <si>
    <t>ID</t>
  </si>
  <si>
    <t>Grupo</t>
  </si>
  <si>
    <t>Dat_exame</t>
  </si>
  <si>
    <t>Sexo</t>
  </si>
  <si>
    <t>Dat_Nasc</t>
  </si>
  <si>
    <t>Idade</t>
  </si>
  <si>
    <t>Peso</t>
  </si>
  <si>
    <t>Estatura</t>
  </si>
  <si>
    <t>IMC</t>
  </si>
  <si>
    <t>Gordura_rel</t>
  </si>
  <si>
    <t>VEF1</t>
  </si>
  <si>
    <t>Pimáx_rel</t>
  </si>
  <si>
    <t>Pemáx_rel</t>
  </si>
  <si>
    <t>NAF</t>
  </si>
  <si>
    <t>Custo_O2</t>
  </si>
  <si>
    <t>PC0004</t>
  </si>
  <si>
    <t>pos</t>
  </si>
  <si>
    <t>F</t>
  </si>
  <si>
    <t>Moderado</t>
  </si>
  <si>
    <t>PC0005</t>
  </si>
  <si>
    <t>M</t>
  </si>
  <si>
    <t>Alto</t>
  </si>
  <si>
    <t>PC0006</t>
  </si>
  <si>
    <t>PC0007</t>
  </si>
  <si>
    <t>PC0008</t>
  </si>
  <si>
    <t>PC00010</t>
  </si>
  <si>
    <t>PC00011</t>
  </si>
  <si>
    <t>PC00012</t>
  </si>
  <si>
    <t>PC00014</t>
  </si>
  <si>
    <t>Baixo</t>
  </si>
  <si>
    <t>PC00015</t>
  </si>
  <si>
    <t>pre</t>
  </si>
  <si>
    <t>PC00016</t>
  </si>
  <si>
    <t>PC00017</t>
  </si>
  <si>
    <t>PC00018</t>
  </si>
  <si>
    <t>PC00019</t>
  </si>
  <si>
    <t>PC00020</t>
  </si>
  <si>
    <t>PC00021</t>
  </si>
  <si>
    <t>PC00022</t>
  </si>
  <si>
    <t>PC00023</t>
  </si>
  <si>
    <t>PC00024</t>
  </si>
  <si>
    <t>PC00025</t>
  </si>
  <si>
    <t>PC00026</t>
  </si>
  <si>
    <t>PC00027</t>
  </si>
  <si>
    <t>PC00028</t>
  </si>
  <si>
    <t>PC00029</t>
  </si>
  <si>
    <t>PC00030</t>
  </si>
  <si>
    <t>PC00031</t>
  </si>
  <si>
    <t>PC00032</t>
  </si>
  <si>
    <t>PC00033</t>
  </si>
  <si>
    <t>PC00034</t>
  </si>
  <si>
    <t>PC00035</t>
  </si>
  <si>
    <t>PC00036</t>
  </si>
  <si>
    <t>PC00037</t>
  </si>
  <si>
    <t>PC00038</t>
  </si>
  <si>
    <t>PC00039</t>
  </si>
  <si>
    <t>PC00040</t>
  </si>
  <si>
    <t>PC00041</t>
  </si>
  <si>
    <t>PC00043</t>
  </si>
  <si>
    <t>PC00044</t>
  </si>
  <si>
    <t>PC00045</t>
  </si>
  <si>
    <t>PC00046</t>
  </si>
  <si>
    <t>PC00047</t>
  </si>
  <si>
    <t>PC00048</t>
  </si>
  <si>
    <t>PC00049</t>
  </si>
  <si>
    <t>PC00050</t>
  </si>
  <si>
    <t>PC00052</t>
  </si>
  <si>
    <t>PC00053</t>
  </si>
  <si>
    <t>PC00054</t>
  </si>
  <si>
    <t>PC00055</t>
  </si>
  <si>
    <t>PC00056</t>
  </si>
  <si>
    <t>PC00057</t>
  </si>
  <si>
    <t>PC00058</t>
  </si>
  <si>
    <t>PC00059</t>
  </si>
  <si>
    <t>PC00060</t>
  </si>
  <si>
    <t>PC00061</t>
  </si>
  <si>
    <t>PC00062</t>
  </si>
  <si>
    <t>PC00063</t>
  </si>
  <si>
    <t>PC00064</t>
  </si>
  <si>
    <t>PC00065</t>
  </si>
  <si>
    <t>PC00066</t>
  </si>
  <si>
    <t>PC00067</t>
  </si>
  <si>
    <t>PCGC0002</t>
  </si>
  <si>
    <t>cont</t>
  </si>
  <si>
    <t>PCGC0003</t>
  </si>
  <si>
    <t>PCGC0005</t>
  </si>
  <si>
    <t>PCGC0006</t>
  </si>
  <si>
    <t>PCGC0007</t>
  </si>
  <si>
    <t>PCGC0008</t>
  </si>
  <si>
    <t>PCGC0009</t>
  </si>
  <si>
    <t>PCGC00010</t>
  </si>
  <si>
    <t>PCGC00011</t>
  </si>
  <si>
    <t>PCGC00012</t>
  </si>
  <si>
    <t>PCGC00013</t>
  </si>
  <si>
    <t>PCGC00014</t>
  </si>
  <si>
    <t>PCGC00015</t>
  </si>
  <si>
    <t>PCGC00016</t>
  </si>
  <si>
    <t>PCGC00017</t>
  </si>
  <si>
    <t>PCGC00018</t>
  </si>
  <si>
    <t>PCGC00019</t>
  </si>
  <si>
    <t>PCGC00020</t>
  </si>
  <si>
    <t>PCGC00021</t>
  </si>
  <si>
    <t>PCGC00022</t>
  </si>
  <si>
    <t>PCGC00023</t>
  </si>
  <si>
    <t>PCGC00024</t>
  </si>
  <si>
    <t>PCGC00025</t>
  </si>
  <si>
    <t>PCGC00026</t>
  </si>
  <si>
    <t>PCGC00027</t>
  </si>
  <si>
    <t>PCGC00028</t>
  </si>
  <si>
    <t>PCGC00029</t>
  </si>
  <si>
    <t>TC6</t>
  </si>
  <si>
    <t>CVF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</si>
</sst>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tabSelected="1" workbookViewId="0">
      <selection activeCell="M2" sqref="M2"/>
    </sheetView>
  </sheetViews>
  <sheetFormatPr defaultRowHeight="14.4" x14ac:dyDescent="0.3"/>
  <cols>
    <col min="3" max="3" width="15" style="2" customWidth="1"/>
    <col min="5" max="5" width="15.6640625" style="2" customWidth="1"/>
    <col min="10" max="10" width="13" customWidth="1"/>
    <col min="14" max="14" width="13.109375" customWidth="1"/>
    <col min="15" max="15" width="12.77734375" customWidth="1"/>
    <col min="16" max="16" width="12.33203125" customWidth="1"/>
  </cols>
  <sheetData>
    <row r="1" spans="1:17" x14ac:dyDescent="0.3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110</v>
      </c>
      <c r="L1" s="1" t="s">
        <v>111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3">
      <c r="A2" t="s">
        <v>15</v>
      </c>
      <c r="B2" t="s">
        <v>16</v>
      </c>
      <c r="C2" s="2">
        <v>43762</v>
      </c>
      <c r="D2" t="s">
        <v>17</v>
      </c>
      <c r="E2" s="2">
        <v>35293</v>
      </c>
      <c r="F2">
        <f>INT((C2-E2)/365.25)</f>
        <v>23</v>
      </c>
      <c r="G2">
        <v>43.1</v>
      </c>
      <c r="H2">
        <v>161.19999999999999</v>
      </c>
      <c r="I2">
        <v>16.586211355282039</v>
      </c>
      <c r="J2">
        <v>27.4</v>
      </c>
      <c r="K2">
        <v>558</v>
      </c>
      <c r="L2">
        <v>79</v>
      </c>
      <c r="M2">
        <v>68</v>
      </c>
      <c r="N2">
        <v>80.702108342580445</v>
      </c>
      <c r="O2">
        <v>78.763414394013992</v>
      </c>
      <c r="P2" t="s">
        <v>18</v>
      </c>
      <c r="Q2">
        <v>0.20107526881720431</v>
      </c>
    </row>
    <row r="3" spans="1:17" x14ac:dyDescent="0.3">
      <c r="A3" t="s">
        <v>19</v>
      </c>
      <c r="B3" t="s">
        <v>16</v>
      </c>
      <c r="C3" s="2">
        <v>43738</v>
      </c>
      <c r="D3" t="s">
        <v>20</v>
      </c>
      <c r="E3" s="2">
        <v>32675</v>
      </c>
      <c r="F3">
        <f t="shared" ref="F3:F66" si="0">INT((C3-E3)/365.25)</f>
        <v>30</v>
      </c>
      <c r="G3">
        <v>65.7</v>
      </c>
      <c r="H3">
        <v>163</v>
      </c>
      <c r="I3">
        <v>24.728066543716359</v>
      </c>
      <c r="J3">
        <v>22.2</v>
      </c>
      <c r="K3">
        <v>606</v>
      </c>
      <c r="L3">
        <v>77</v>
      </c>
      <c r="M3">
        <v>79</v>
      </c>
      <c r="N3">
        <v>91.393754760091383</v>
      </c>
      <c r="O3">
        <v>106.38297872340419</v>
      </c>
      <c r="P3" t="s">
        <v>21</v>
      </c>
      <c r="Q3">
        <v>0.20917535755737829</v>
      </c>
    </row>
    <row r="4" spans="1:17" x14ac:dyDescent="0.3">
      <c r="A4" t="s">
        <v>22</v>
      </c>
      <c r="B4" t="s">
        <v>16</v>
      </c>
      <c r="C4" s="2">
        <v>43479</v>
      </c>
      <c r="D4" t="s">
        <v>17</v>
      </c>
      <c r="E4" s="2">
        <v>35767</v>
      </c>
      <c r="F4">
        <f t="shared" si="0"/>
        <v>21</v>
      </c>
      <c r="G4">
        <v>99</v>
      </c>
      <c r="H4">
        <v>166</v>
      </c>
      <c r="I4">
        <v>35.926839889679201</v>
      </c>
      <c r="J4">
        <v>42</v>
      </c>
      <c r="K4">
        <v>420</v>
      </c>
      <c r="L4">
        <v>72</v>
      </c>
      <c r="M4">
        <v>72</v>
      </c>
      <c r="N4">
        <v>119.9352464596801</v>
      </c>
      <c r="O4">
        <v>116.82211853433689</v>
      </c>
      <c r="P4" t="s">
        <v>18</v>
      </c>
      <c r="Q4">
        <v>0.20382995790908959</v>
      </c>
    </row>
    <row r="5" spans="1:17" x14ac:dyDescent="0.3">
      <c r="A5" t="s">
        <v>23</v>
      </c>
      <c r="B5" t="s">
        <v>16</v>
      </c>
      <c r="C5" s="2">
        <v>43481</v>
      </c>
      <c r="D5" t="s">
        <v>17</v>
      </c>
      <c r="E5" s="2">
        <v>35562</v>
      </c>
      <c r="F5">
        <f t="shared" si="0"/>
        <v>21</v>
      </c>
      <c r="G5">
        <v>49.7</v>
      </c>
      <c r="H5">
        <v>161</v>
      </c>
      <c r="I5">
        <v>19.17364299216851</v>
      </c>
      <c r="J5">
        <v>19.2</v>
      </c>
      <c r="K5">
        <v>525</v>
      </c>
      <c r="L5">
        <v>51</v>
      </c>
      <c r="M5">
        <v>58</v>
      </c>
      <c r="N5">
        <v>120.2690536447176</v>
      </c>
      <c r="O5">
        <v>78.144409906742865</v>
      </c>
      <c r="P5" t="s">
        <v>18</v>
      </c>
      <c r="Q5">
        <v>0.24437223778400241</v>
      </c>
    </row>
    <row r="6" spans="1:17" x14ac:dyDescent="0.3">
      <c r="A6" t="s">
        <v>24</v>
      </c>
      <c r="B6" t="s">
        <v>16</v>
      </c>
      <c r="C6" s="2">
        <v>43495</v>
      </c>
      <c r="D6" t="s">
        <v>17</v>
      </c>
      <c r="E6" s="2">
        <v>34002</v>
      </c>
      <c r="F6">
        <f t="shared" si="0"/>
        <v>25</v>
      </c>
      <c r="G6">
        <v>38.299999999999997</v>
      </c>
      <c r="H6">
        <v>156.30000000000001</v>
      </c>
      <c r="I6">
        <v>15.677644701999901</v>
      </c>
      <c r="J6">
        <v>30</v>
      </c>
      <c r="K6">
        <v>414</v>
      </c>
      <c r="L6">
        <v>39</v>
      </c>
      <c r="M6">
        <v>41</v>
      </c>
      <c r="N6">
        <v>122.8693741286941</v>
      </c>
      <c r="O6">
        <v>40.101920912204797</v>
      </c>
      <c r="P6" t="s">
        <v>18</v>
      </c>
      <c r="Q6">
        <v>0.2497131971414438</v>
      </c>
    </row>
    <row r="7" spans="1:17" x14ac:dyDescent="0.3">
      <c r="A7" t="s">
        <v>25</v>
      </c>
      <c r="B7" t="s">
        <v>16</v>
      </c>
      <c r="C7" s="2">
        <v>43502</v>
      </c>
      <c r="D7" t="s">
        <v>17</v>
      </c>
      <c r="E7" s="2">
        <v>35530</v>
      </c>
      <c r="F7">
        <f t="shared" si="0"/>
        <v>21</v>
      </c>
      <c r="G7">
        <v>57.9</v>
      </c>
      <c r="H7">
        <v>164.5</v>
      </c>
      <c r="I7">
        <v>21.396698108849701</v>
      </c>
      <c r="J7">
        <v>26.3</v>
      </c>
      <c r="K7">
        <v>540</v>
      </c>
      <c r="L7">
        <v>89</v>
      </c>
      <c r="M7">
        <v>79</v>
      </c>
      <c r="N7">
        <v>90.266115134227334</v>
      </c>
      <c r="O7">
        <v>102.6532937116133</v>
      </c>
      <c r="P7" t="s">
        <v>18</v>
      </c>
      <c r="Q7">
        <v>0.18980440215301811</v>
      </c>
    </row>
    <row r="8" spans="1:17" x14ac:dyDescent="0.3">
      <c r="A8" t="s">
        <v>26</v>
      </c>
      <c r="B8" t="s">
        <v>16</v>
      </c>
      <c r="C8" s="2">
        <v>43507</v>
      </c>
      <c r="D8" t="s">
        <v>17</v>
      </c>
      <c r="E8" s="2">
        <v>34204</v>
      </c>
      <c r="F8">
        <f t="shared" si="0"/>
        <v>25</v>
      </c>
      <c r="G8">
        <v>63.4</v>
      </c>
      <c r="H8">
        <v>171.7</v>
      </c>
      <c r="I8">
        <v>21.505456585605121</v>
      </c>
      <c r="K8">
        <v>600</v>
      </c>
      <c r="L8">
        <v>77</v>
      </c>
      <c r="M8">
        <v>78</v>
      </c>
      <c r="N8">
        <v>122.54953358201131</v>
      </c>
      <c r="O8">
        <v>99.93687765181582</v>
      </c>
      <c r="P8" t="s">
        <v>21</v>
      </c>
      <c r="Q8">
        <v>0.20940366565610299</v>
      </c>
    </row>
    <row r="9" spans="1:17" x14ac:dyDescent="0.3">
      <c r="A9" t="s">
        <v>27</v>
      </c>
      <c r="B9" t="s">
        <v>16</v>
      </c>
      <c r="C9" s="2">
        <v>43510</v>
      </c>
      <c r="D9" t="s">
        <v>20</v>
      </c>
      <c r="E9" s="2">
        <v>34765</v>
      </c>
      <c r="F9">
        <f t="shared" si="0"/>
        <v>23</v>
      </c>
      <c r="G9">
        <v>58.5</v>
      </c>
      <c r="H9">
        <v>185.4</v>
      </c>
      <c r="I9">
        <v>17.0190928038039</v>
      </c>
      <c r="J9">
        <v>9.9</v>
      </c>
      <c r="K9">
        <v>504</v>
      </c>
      <c r="L9">
        <v>43</v>
      </c>
      <c r="M9">
        <v>46</v>
      </c>
      <c r="N9">
        <v>88.140675172050763</v>
      </c>
      <c r="O9">
        <v>54.829607425077221</v>
      </c>
      <c r="P9" t="s">
        <v>18</v>
      </c>
      <c r="Q9">
        <v>0.26341792077454762</v>
      </c>
    </row>
    <row r="10" spans="1:17" x14ac:dyDescent="0.3">
      <c r="A10" t="s">
        <v>28</v>
      </c>
      <c r="B10" t="s">
        <v>16</v>
      </c>
      <c r="C10" s="2">
        <v>43516</v>
      </c>
      <c r="D10" t="s">
        <v>17</v>
      </c>
      <c r="E10" s="2">
        <v>34201</v>
      </c>
      <c r="F10">
        <f t="shared" si="0"/>
        <v>25</v>
      </c>
      <c r="G10">
        <v>55.3</v>
      </c>
      <c r="H10">
        <v>152.5</v>
      </c>
      <c r="I10">
        <v>23.778554152109649</v>
      </c>
      <c r="J10">
        <v>30.8</v>
      </c>
      <c r="K10">
        <v>540</v>
      </c>
      <c r="L10">
        <v>83</v>
      </c>
      <c r="M10">
        <v>79</v>
      </c>
      <c r="N10">
        <v>122.5696847668785</v>
      </c>
      <c r="O10">
        <v>84.963362820960171</v>
      </c>
      <c r="P10" t="s">
        <v>29</v>
      </c>
      <c r="Q10">
        <v>0.22453343850660679</v>
      </c>
    </row>
    <row r="11" spans="1:17" x14ac:dyDescent="0.3">
      <c r="A11" t="s">
        <v>30</v>
      </c>
      <c r="B11" t="s">
        <v>31</v>
      </c>
      <c r="C11" s="2">
        <v>43517</v>
      </c>
      <c r="D11" t="s">
        <v>17</v>
      </c>
      <c r="E11" s="2">
        <v>36253</v>
      </c>
      <c r="F11">
        <f t="shared" si="0"/>
        <v>19</v>
      </c>
      <c r="G11">
        <v>62.6</v>
      </c>
      <c r="H11">
        <v>167.5</v>
      </c>
      <c r="I11">
        <v>22.312319002004902</v>
      </c>
      <c r="J11">
        <v>28</v>
      </c>
      <c r="K11">
        <v>420</v>
      </c>
      <c r="L11">
        <v>79</v>
      </c>
      <c r="M11">
        <v>76</v>
      </c>
      <c r="N11">
        <v>119.2191107445713</v>
      </c>
      <c r="O11">
        <v>57.988677985153423</v>
      </c>
      <c r="P11" t="s">
        <v>29</v>
      </c>
      <c r="Q11">
        <v>0.2548402063528114</v>
      </c>
    </row>
    <row r="12" spans="1:17" x14ac:dyDescent="0.3">
      <c r="A12" t="s">
        <v>32</v>
      </c>
      <c r="B12" t="s">
        <v>16</v>
      </c>
      <c r="C12" s="2">
        <v>43524</v>
      </c>
      <c r="D12" t="s">
        <v>17</v>
      </c>
      <c r="E12" s="2">
        <v>37595</v>
      </c>
      <c r="F12">
        <f t="shared" si="0"/>
        <v>16</v>
      </c>
      <c r="G12">
        <v>41.2</v>
      </c>
      <c r="H12">
        <v>164.2</v>
      </c>
      <c r="I12">
        <v>15.28096955526445</v>
      </c>
      <c r="J12">
        <v>23.1</v>
      </c>
      <c r="K12">
        <v>540</v>
      </c>
      <c r="L12">
        <v>55</v>
      </c>
      <c r="M12">
        <v>55</v>
      </c>
      <c r="N12">
        <v>117.1349168149672</v>
      </c>
      <c r="O12">
        <v>61.495935498459971</v>
      </c>
      <c r="P12" t="s">
        <v>18</v>
      </c>
      <c r="Q12">
        <v>0.26840785644772353</v>
      </c>
    </row>
    <row r="13" spans="1:17" x14ac:dyDescent="0.3">
      <c r="A13" t="s">
        <v>33</v>
      </c>
      <c r="B13" t="s">
        <v>16</v>
      </c>
      <c r="C13" s="2">
        <v>43537</v>
      </c>
      <c r="D13" t="s">
        <v>17</v>
      </c>
      <c r="E13" s="2">
        <v>35687</v>
      </c>
      <c r="F13">
        <f t="shared" si="0"/>
        <v>21</v>
      </c>
      <c r="G13">
        <v>46</v>
      </c>
      <c r="H13">
        <v>158.19999999999999</v>
      </c>
      <c r="I13">
        <v>18.37997318122174</v>
      </c>
      <c r="J13">
        <v>25.8</v>
      </c>
      <c r="K13">
        <v>504</v>
      </c>
      <c r="L13">
        <v>74</v>
      </c>
      <c r="M13">
        <v>71</v>
      </c>
      <c r="N13">
        <v>100.1313152635489</v>
      </c>
      <c r="O13">
        <v>68.299478554484651</v>
      </c>
      <c r="P13" t="s">
        <v>18</v>
      </c>
      <c r="Q13">
        <v>0.22997679128385681</v>
      </c>
    </row>
    <row r="14" spans="1:17" x14ac:dyDescent="0.3">
      <c r="A14" t="s">
        <v>34</v>
      </c>
      <c r="B14" t="s">
        <v>31</v>
      </c>
      <c r="C14" s="2">
        <v>43542</v>
      </c>
      <c r="D14" t="s">
        <v>17</v>
      </c>
      <c r="E14" s="2">
        <v>36586</v>
      </c>
      <c r="F14">
        <f t="shared" si="0"/>
        <v>19</v>
      </c>
      <c r="G14">
        <v>53.8</v>
      </c>
      <c r="H14">
        <v>171.2</v>
      </c>
      <c r="I14">
        <v>18.355860773866709</v>
      </c>
      <c r="J14">
        <v>23.4</v>
      </c>
      <c r="K14">
        <v>621</v>
      </c>
      <c r="L14">
        <v>66</v>
      </c>
      <c r="M14">
        <v>59</v>
      </c>
      <c r="N14">
        <v>84.101626540424036</v>
      </c>
      <c r="O14">
        <v>76.935755747669688</v>
      </c>
      <c r="P14" t="s">
        <v>21</v>
      </c>
      <c r="Q14">
        <v>0.21031602037569641</v>
      </c>
    </row>
    <row r="15" spans="1:17" x14ac:dyDescent="0.3">
      <c r="A15" t="s">
        <v>35</v>
      </c>
      <c r="B15" t="s">
        <v>31</v>
      </c>
      <c r="C15" s="2">
        <v>43544</v>
      </c>
      <c r="D15" t="s">
        <v>17</v>
      </c>
      <c r="E15" s="2">
        <v>35876</v>
      </c>
      <c r="F15">
        <f t="shared" si="0"/>
        <v>20</v>
      </c>
      <c r="G15">
        <v>45.8</v>
      </c>
      <c r="H15">
        <v>152.30000000000001</v>
      </c>
      <c r="I15">
        <v>19.745387964539351</v>
      </c>
      <c r="J15">
        <v>26</v>
      </c>
      <c r="K15">
        <v>459</v>
      </c>
      <c r="L15">
        <v>79</v>
      </c>
      <c r="M15">
        <v>84</v>
      </c>
      <c r="N15">
        <v>39.954843642831591</v>
      </c>
      <c r="O15">
        <v>48.641085916737637</v>
      </c>
      <c r="P15" t="s">
        <v>18</v>
      </c>
      <c r="Q15">
        <v>0.26326143880930503</v>
      </c>
    </row>
    <row r="16" spans="1:17" x14ac:dyDescent="0.3">
      <c r="A16" t="s">
        <v>36</v>
      </c>
      <c r="B16" t="s">
        <v>31</v>
      </c>
      <c r="C16" s="2">
        <v>43549</v>
      </c>
      <c r="D16" t="s">
        <v>17</v>
      </c>
      <c r="E16" s="2">
        <v>36594</v>
      </c>
      <c r="F16">
        <f t="shared" si="0"/>
        <v>19</v>
      </c>
      <c r="G16">
        <v>54.7</v>
      </c>
      <c r="H16">
        <v>161.19999999999999</v>
      </c>
      <c r="I16">
        <v>21.050249678281379</v>
      </c>
      <c r="J16">
        <v>35.1</v>
      </c>
      <c r="K16">
        <v>552</v>
      </c>
      <c r="L16">
        <v>56</v>
      </c>
      <c r="M16">
        <v>56</v>
      </c>
      <c r="N16">
        <v>89.047599053517942</v>
      </c>
      <c r="O16">
        <v>96.168150109201207</v>
      </c>
      <c r="P16" t="s">
        <v>21</v>
      </c>
      <c r="Q16">
        <v>0.2070762203785721</v>
      </c>
    </row>
    <row r="17" spans="1:17" x14ac:dyDescent="0.3">
      <c r="A17" t="s">
        <v>37</v>
      </c>
      <c r="B17" t="s">
        <v>16</v>
      </c>
      <c r="C17" s="2">
        <v>43552</v>
      </c>
      <c r="D17" t="s">
        <v>17</v>
      </c>
      <c r="E17" s="2">
        <v>38254</v>
      </c>
      <c r="F17">
        <f t="shared" si="0"/>
        <v>14</v>
      </c>
      <c r="G17">
        <v>48.3</v>
      </c>
      <c r="H17">
        <v>162.30000000000001</v>
      </c>
      <c r="I17">
        <v>18.336231824637281</v>
      </c>
      <c r="J17">
        <v>23.9</v>
      </c>
      <c r="K17">
        <v>513</v>
      </c>
      <c r="L17">
        <v>84</v>
      </c>
      <c r="M17">
        <v>89</v>
      </c>
      <c r="N17">
        <v>48.406232257674617</v>
      </c>
      <c r="O17">
        <v>103.04269279774471</v>
      </c>
      <c r="P17" t="s">
        <v>18</v>
      </c>
      <c r="Q17">
        <v>0.21078726507081411</v>
      </c>
    </row>
    <row r="18" spans="1:17" x14ac:dyDescent="0.3">
      <c r="A18" t="s">
        <v>38</v>
      </c>
      <c r="B18" t="s">
        <v>16</v>
      </c>
      <c r="C18" s="2">
        <v>43572</v>
      </c>
      <c r="D18" t="s">
        <v>17</v>
      </c>
      <c r="E18" s="2">
        <v>34264</v>
      </c>
      <c r="F18">
        <f t="shared" si="0"/>
        <v>25</v>
      </c>
      <c r="G18">
        <v>53.4</v>
      </c>
      <c r="H18">
        <v>164</v>
      </c>
      <c r="I18">
        <v>19.854253420582989</v>
      </c>
      <c r="J18">
        <v>29.7</v>
      </c>
      <c r="K18">
        <v>540</v>
      </c>
      <c r="L18">
        <v>105</v>
      </c>
      <c r="M18">
        <v>77</v>
      </c>
      <c r="N18">
        <v>122.5579291037473</v>
      </c>
      <c r="O18">
        <v>94.947957341383315</v>
      </c>
      <c r="P18" t="s">
        <v>18</v>
      </c>
      <c r="Q18">
        <v>0.24145105652774851</v>
      </c>
    </row>
    <row r="19" spans="1:17" x14ac:dyDescent="0.3">
      <c r="A19" t="s">
        <v>39</v>
      </c>
      <c r="B19" t="s">
        <v>16</v>
      </c>
      <c r="C19" s="2">
        <v>43577</v>
      </c>
      <c r="D19" t="s">
        <v>17</v>
      </c>
      <c r="E19" s="2">
        <v>35513</v>
      </c>
      <c r="F19">
        <f t="shared" si="0"/>
        <v>22</v>
      </c>
      <c r="G19">
        <v>61.8</v>
      </c>
      <c r="H19">
        <v>167</v>
      </c>
      <c r="I19">
        <v>22.159274265839581</v>
      </c>
      <c r="J19">
        <v>31.2</v>
      </c>
      <c r="K19">
        <v>672</v>
      </c>
      <c r="L19">
        <v>94</v>
      </c>
      <c r="M19">
        <v>89</v>
      </c>
      <c r="N19">
        <v>120.5039887562603</v>
      </c>
      <c r="O19">
        <v>97.912119550094829</v>
      </c>
      <c r="P19" t="s">
        <v>18</v>
      </c>
      <c r="Q19">
        <v>0.2057923938806292</v>
      </c>
    </row>
    <row r="20" spans="1:17" x14ac:dyDescent="0.3">
      <c r="A20" t="s">
        <v>40</v>
      </c>
      <c r="B20" t="s">
        <v>16</v>
      </c>
      <c r="C20" s="2">
        <v>43591</v>
      </c>
      <c r="D20" t="s">
        <v>17</v>
      </c>
      <c r="E20" s="2">
        <v>31830</v>
      </c>
      <c r="F20">
        <f t="shared" si="0"/>
        <v>32</v>
      </c>
      <c r="G20">
        <v>61.8</v>
      </c>
      <c r="H20">
        <v>166</v>
      </c>
      <c r="I20">
        <v>22.427057628102769</v>
      </c>
      <c r="J20">
        <v>32.1</v>
      </c>
      <c r="K20">
        <v>495</v>
      </c>
      <c r="L20">
        <v>86</v>
      </c>
      <c r="M20">
        <v>82</v>
      </c>
      <c r="N20">
        <v>126.82031127254039</v>
      </c>
      <c r="O20">
        <v>109.4227772849713</v>
      </c>
      <c r="P20" t="s">
        <v>21</v>
      </c>
      <c r="Q20">
        <v>0.20267158470367019</v>
      </c>
    </row>
    <row r="21" spans="1:17" x14ac:dyDescent="0.3">
      <c r="A21" t="s">
        <v>41</v>
      </c>
      <c r="B21" t="s">
        <v>16</v>
      </c>
      <c r="C21" s="2">
        <v>43593</v>
      </c>
      <c r="D21" t="s">
        <v>17</v>
      </c>
      <c r="E21" s="2">
        <v>37653</v>
      </c>
      <c r="F21">
        <f t="shared" si="0"/>
        <v>16</v>
      </c>
      <c r="G21">
        <v>43.2</v>
      </c>
      <c r="H21">
        <v>152.30000000000001</v>
      </c>
      <c r="I21">
        <v>18.62447074384497</v>
      </c>
      <c r="J21">
        <v>49.8</v>
      </c>
      <c r="K21">
        <v>540</v>
      </c>
      <c r="L21">
        <v>86</v>
      </c>
      <c r="M21">
        <v>73</v>
      </c>
      <c r="N21">
        <v>58.575896078903057</v>
      </c>
      <c r="O21">
        <v>66.237904636070425</v>
      </c>
      <c r="P21" t="s">
        <v>18</v>
      </c>
      <c r="Q21">
        <v>0.22702131395091421</v>
      </c>
    </row>
    <row r="22" spans="1:17" x14ac:dyDescent="0.3">
      <c r="A22" t="s">
        <v>42</v>
      </c>
      <c r="B22" t="s">
        <v>16</v>
      </c>
      <c r="C22" s="2">
        <v>43594</v>
      </c>
      <c r="D22" t="s">
        <v>17</v>
      </c>
      <c r="E22" s="2">
        <v>35432</v>
      </c>
      <c r="F22">
        <f t="shared" si="0"/>
        <v>22</v>
      </c>
      <c r="G22">
        <v>39</v>
      </c>
      <c r="H22">
        <v>162.5</v>
      </c>
      <c r="I22">
        <v>14.76923076923077</v>
      </c>
      <c r="J22">
        <v>27.4</v>
      </c>
      <c r="K22">
        <v>441</v>
      </c>
      <c r="L22">
        <v>44</v>
      </c>
      <c r="M22">
        <v>47</v>
      </c>
      <c r="N22">
        <v>120.6632929764218</v>
      </c>
      <c r="O22">
        <v>68.64849393514352</v>
      </c>
      <c r="P22" t="s">
        <v>21</v>
      </c>
      <c r="Q22">
        <v>0.24000287945866169</v>
      </c>
    </row>
    <row r="23" spans="1:17" x14ac:dyDescent="0.3">
      <c r="A23" t="s">
        <v>43</v>
      </c>
      <c r="B23" t="s">
        <v>16</v>
      </c>
      <c r="C23" s="2">
        <v>43601</v>
      </c>
      <c r="D23" t="s">
        <v>20</v>
      </c>
      <c r="E23" s="2">
        <v>32919</v>
      </c>
      <c r="F23">
        <f t="shared" si="0"/>
        <v>29</v>
      </c>
      <c r="G23">
        <v>58.2</v>
      </c>
      <c r="H23">
        <v>185</v>
      </c>
      <c r="I23">
        <v>17.005113221329442</v>
      </c>
      <c r="J23">
        <v>19.7</v>
      </c>
      <c r="K23">
        <v>540</v>
      </c>
      <c r="L23">
        <v>58</v>
      </c>
      <c r="M23">
        <v>42</v>
      </c>
      <c r="N23">
        <v>53.069131014384752</v>
      </c>
      <c r="O23">
        <v>49.431200440110231</v>
      </c>
      <c r="P23" t="s">
        <v>18</v>
      </c>
      <c r="Q23">
        <v>0.25212331846318781</v>
      </c>
    </row>
    <row r="24" spans="1:17" x14ac:dyDescent="0.3">
      <c r="A24" t="s">
        <v>44</v>
      </c>
      <c r="B24" t="s">
        <v>16</v>
      </c>
      <c r="C24" s="2">
        <v>43605</v>
      </c>
      <c r="D24" t="s">
        <v>17</v>
      </c>
      <c r="E24" s="2">
        <v>34981</v>
      </c>
      <c r="F24">
        <f t="shared" si="0"/>
        <v>23</v>
      </c>
      <c r="G24">
        <v>49.1</v>
      </c>
      <c r="H24">
        <v>164.5</v>
      </c>
      <c r="I24">
        <v>18.144695632893271</v>
      </c>
      <c r="J24">
        <v>28.6</v>
      </c>
      <c r="K24">
        <v>618</v>
      </c>
      <c r="L24">
        <v>87</v>
      </c>
      <c r="M24">
        <v>97</v>
      </c>
      <c r="N24">
        <v>70.828337651227883</v>
      </c>
      <c r="O24">
        <v>88.935308609376165</v>
      </c>
      <c r="P24" t="s">
        <v>18</v>
      </c>
      <c r="Q24">
        <v>0.23615566185029591</v>
      </c>
    </row>
    <row r="25" spans="1:17" x14ac:dyDescent="0.3">
      <c r="A25" t="s">
        <v>45</v>
      </c>
      <c r="B25" t="s">
        <v>16</v>
      </c>
      <c r="C25" s="2">
        <v>43607</v>
      </c>
      <c r="D25" t="s">
        <v>17</v>
      </c>
      <c r="E25" s="2">
        <v>35570</v>
      </c>
      <c r="F25">
        <f t="shared" si="0"/>
        <v>22</v>
      </c>
      <c r="G25">
        <v>91.9</v>
      </c>
      <c r="H25">
        <v>161.19999999999999</v>
      </c>
      <c r="I25">
        <v>35.365958783072372</v>
      </c>
      <c r="J25">
        <v>38.9</v>
      </c>
      <c r="K25">
        <v>570</v>
      </c>
      <c r="L25">
        <v>90</v>
      </c>
      <c r="M25">
        <v>92</v>
      </c>
      <c r="N25">
        <v>120.4601727008061</v>
      </c>
      <c r="O25">
        <v>97.86890951928882</v>
      </c>
      <c r="P25" t="s">
        <v>21</v>
      </c>
      <c r="Q25">
        <v>0.19803802948886751</v>
      </c>
    </row>
    <row r="26" spans="1:17" x14ac:dyDescent="0.3">
      <c r="A26" t="s">
        <v>46</v>
      </c>
      <c r="B26" t="s">
        <v>16</v>
      </c>
      <c r="C26" s="2">
        <v>43615</v>
      </c>
      <c r="D26" t="s">
        <v>20</v>
      </c>
      <c r="E26" s="2">
        <v>34455</v>
      </c>
      <c r="F26">
        <f t="shared" si="0"/>
        <v>25</v>
      </c>
      <c r="G26">
        <v>73.599999999999994</v>
      </c>
      <c r="H26">
        <v>162.19999999999999</v>
      </c>
      <c r="I26">
        <v>27.975387740394481</v>
      </c>
      <c r="J26">
        <v>28.2</v>
      </c>
      <c r="K26">
        <v>543</v>
      </c>
      <c r="L26">
        <v>96</v>
      </c>
      <c r="M26">
        <v>85</v>
      </c>
      <c r="N26">
        <v>88.733093668277306</v>
      </c>
      <c r="O26">
        <v>82.766473629870703</v>
      </c>
      <c r="P26" t="s">
        <v>18</v>
      </c>
      <c r="Q26">
        <v>0.2200216341061095</v>
      </c>
    </row>
    <row r="27" spans="1:17" x14ac:dyDescent="0.3">
      <c r="A27" t="s">
        <v>47</v>
      </c>
      <c r="B27" t="s">
        <v>16</v>
      </c>
      <c r="C27" s="2">
        <v>43619</v>
      </c>
      <c r="D27" t="s">
        <v>20</v>
      </c>
      <c r="E27" s="2">
        <v>31756</v>
      </c>
      <c r="F27">
        <f t="shared" si="0"/>
        <v>32</v>
      </c>
      <c r="G27">
        <v>68.8</v>
      </c>
      <c r="H27">
        <v>174.5</v>
      </c>
      <c r="I27">
        <v>22.59423157445341</v>
      </c>
      <c r="J27">
        <v>16.3</v>
      </c>
      <c r="K27">
        <v>630</v>
      </c>
      <c r="L27">
        <v>75</v>
      </c>
      <c r="M27">
        <v>57</v>
      </c>
      <c r="N27">
        <v>92.795438774964694</v>
      </c>
      <c r="O27">
        <v>86.335960345733852</v>
      </c>
      <c r="P27" t="s">
        <v>21</v>
      </c>
      <c r="Q27">
        <v>0.21298977630849639</v>
      </c>
    </row>
    <row r="28" spans="1:17" x14ac:dyDescent="0.3">
      <c r="A28" t="s">
        <v>48</v>
      </c>
      <c r="B28" t="s">
        <v>31</v>
      </c>
      <c r="C28" s="2">
        <v>43622</v>
      </c>
      <c r="D28" t="s">
        <v>17</v>
      </c>
      <c r="E28" s="2">
        <v>37222</v>
      </c>
      <c r="F28">
        <f t="shared" si="0"/>
        <v>17</v>
      </c>
      <c r="G28">
        <v>78.7</v>
      </c>
      <c r="H28">
        <v>152</v>
      </c>
      <c r="I28">
        <v>34.06336565096953</v>
      </c>
      <c r="J28">
        <v>40.9</v>
      </c>
      <c r="K28">
        <v>534</v>
      </c>
      <c r="L28">
        <v>93</v>
      </c>
      <c r="M28">
        <v>84</v>
      </c>
      <c r="N28">
        <v>117.8618679344728</v>
      </c>
      <c r="O28">
        <v>95.318498182359107</v>
      </c>
      <c r="P28" t="s">
        <v>21</v>
      </c>
      <c r="Q28">
        <v>0.20904677976059341</v>
      </c>
    </row>
    <row r="29" spans="1:17" x14ac:dyDescent="0.3">
      <c r="A29" t="s">
        <v>49</v>
      </c>
      <c r="B29" t="s">
        <v>31</v>
      </c>
      <c r="C29" s="2">
        <v>43626</v>
      </c>
      <c r="D29" t="s">
        <v>17</v>
      </c>
      <c r="E29" s="2">
        <v>37837</v>
      </c>
      <c r="F29">
        <f t="shared" si="0"/>
        <v>15</v>
      </c>
      <c r="G29">
        <v>51.3</v>
      </c>
      <c r="H29">
        <v>158</v>
      </c>
      <c r="I29">
        <v>20.54959141163275</v>
      </c>
      <c r="J29">
        <v>26</v>
      </c>
      <c r="K29">
        <v>516</v>
      </c>
      <c r="L29">
        <v>96</v>
      </c>
      <c r="M29">
        <v>89</v>
      </c>
      <c r="N29">
        <v>68.203662123846158</v>
      </c>
      <c r="O29">
        <v>56.640186334970302</v>
      </c>
      <c r="P29" t="s">
        <v>18</v>
      </c>
      <c r="Q29">
        <v>0.22585880265338831</v>
      </c>
    </row>
    <row r="30" spans="1:17" x14ac:dyDescent="0.3">
      <c r="A30" t="s">
        <v>50</v>
      </c>
      <c r="B30" t="s">
        <v>31</v>
      </c>
      <c r="C30" s="2">
        <v>43628</v>
      </c>
      <c r="D30" t="s">
        <v>17</v>
      </c>
      <c r="E30" s="2">
        <v>37142</v>
      </c>
      <c r="F30">
        <f t="shared" si="0"/>
        <v>17</v>
      </c>
      <c r="G30">
        <v>44.1</v>
      </c>
      <c r="H30">
        <v>159</v>
      </c>
      <c r="I30">
        <v>17.4439302242791</v>
      </c>
      <c r="J30">
        <v>33.1</v>
      </c>
      <c r="K30">
        <v>543</v>
      </c>
      <c r="L30">
        <v>92</v>
      </c>
      <c r="M30">
        <v>84</v>
      </c>
      <c r="N30">
        <v>73.747235866778865</v>
      </c>
      <c r="O30">
        <v>95.449171650145672</v>
      </c>
      <c r="P30" t="s">
        <v>18</v>
      </c>
      <c r="Q30">
        <v>0.20418651438475929</v>
      </c>
    </row>
    <row r="31" spans="1:17" x14ac:dyDescent="0.3">
      <c r="A31" t="s">
        <v>51</v>
      </c>
      <c r="B31" t="s">
        <v>31</v>
      </c>
      <c r="C31" s="2">
        <v>43629</v>
      </c>
      <c r="D31" t="s">
        <v>17</v>
      </c>
      <c r="E31" s="2">
        <v>37311</v>
      </c>
      <c r="F31">
        <f t="shared" si="0"/>
        <v>17</v>
      </c>
      <c r="G31">
        <v>59.9</v>
      </c>
      <c r="H31">
        <v>167.5</v>
      </c>
      <c r="I31">
        <v>21.34996658498552</v>
      </c>
      <c r="J31">
        <v>27.3</v>
      </c>
      <c r="K31">
        <v>543</v>
      </c>
      <c r="L31">
        <v>73</v>
      </c>
      <c r="M31">
        <v>65</v>
      </c>
      <c r="N31">
        <v>117.7346594398054</v>
      </c>
      <c r="O31">
        <v>104.713658867646</v>
      </c>
      <c r="P31" t="s">
        <v>18</v>
      </c>
      <c r="Q31">
        <v>0.21810630054305541</v>
      </c>
    </row>
    <row r="32" spans="1:17" x14ac:dyDescent="0.3">
      <c r="A32" t="s">
        <v>52</v>
      </c>
      <c r="B32" t="s">
        <v>16</v>
      </c>
      <c r="C32" s="2">
        <v>43633</v>
      </c>
      <c r="D32" t="s">
        <v>17</v>
      </c>
      <c r="E32" s="2">
        <v>32626</v>
      </c>
      <c r="F32">
        <f t="shared" si="0"/>
        <v>30</v>
      </c>
      <c r="G32">
        <v>55.6</v>
      </c>
      <c r="H32">
        <v>152.5</v>
      </c>
      <c r="I32">
        <v>23.907551733405001</v>
      </c>
      <c r="J32">
        <v>45.8</v>
      </c>
      <c r="K32">
        <v>342</v>
      </c>
      <c r="L32">
        <v>39</v>
      </c>
      <c r="M32">
        <v>28</v>
      </c>
      <c r="N32">
        <v>41.826306599710222</v>
      </c>
      <c r="O32">
        <v>30.858695477690919</v>
      </c>
      <c r="P32" t="s">
        <v>29</v>
      </c>
      <c r="Q32">
        <v>0.26931766858790301</v>
      </c>
    </row>
    <row r="33" spans="1:17" x14ac:dyDescent="0.3">
      <c r="A33" t="s">
        <v>53</v>
      </c>
      <c r="B33" t="s">
        <v>31</v>
      </c>
      <c r="C33" s="2">
        <v>43633</v>
      </c>
      <c r="D33" t="s">
        <v>17</v>
      </c>
      <c r="E33" s="2">
        <v>37191</v>
      </c>
      <c r="F33">
        <f t="shared" si="0"/>
        <v>17</v>
      </c>
      <c r="G33">
        <v>45.5</v>
      </c>
      <c r="H33">
        <v>157</v>
      </c>
      <c r="I33">
        <v>18.459166700474661</v>
      </c>
      <c r="J33">
        <v>38.9</v>
      </c>
      <c r="K33">
        <v>552</v>
      </c>
      <c r="L33">
        <v>66</v>
      </c>
      <c r="M33">
        <v>66</v>
      </c>
      <c r="N33">
        <v>83.531717097577356</v>
      </c>
      <c r="O33">
        <v>71.536703045547426</v>
      </c>
      <c r="P33" t="s">
        <v>18</v>
      </c>
      <c r="Q33">
        <v>0.2125521745241653</v>
      </c>
    </row>
    <row r="34" spans="1:17" x14ac:dyDescent="0.3">
      <c r="A34" t="s">
        <v>54</v>
      </c>
      <c r="B34" t="s">
        <v>16</v>
      </c>
      <c r="C34" s="2">
        <v>43640</v>
      </c>
      <c r="D34" t="s">
        <v>17</v>
      </c>
      <c r="E34" s="2">
        <v>33297</v>
      </c>
      <c r="F34">
        <f t="shared" si="0"/>
        <v>28</v>
      </c>
      <c r="G34">
        <v>86.2</v>
      </c>
      <c r="H34">
        <v>174.4</v>
      </c>
      <c r="I34">
        <v>28.34094352327245</v>
      </c>
      <c r="J34">
        <v>34.299999999999997</v>
      </c>
      <c r="K34">
        <v>573</v>
      </c>
      <c r="L34">
        <v>83</v>
      </c>
      <c r="M34">
        <v>81</v>
      </c>
      <c r="N34">
        <v>124.32092213618679</v>
      </c>
      <c r="O34">
        <v>106.78733195465681</v>
      </c>
      <c r="P34" t="s">
        <v>18</v>
      </c>
      <c r="Q34">
        <v>0.17289460307980761</v>
      </c>
    </row>
    <row r="35" spans="1:17" x14ac:dyDescent="0.3">
      <c r="A35" t="s">
        <v>55</v>
      </c>
      <c r="B35" t="s">
        <v>16</v>
      </c>
      <c r="C35" s="2">
        <v>43642</v>
      </c>
      <c r="D35" t="s">
        <v>20</v>
      </c>
      <c r="E35" s="2">
        <v>34871</v>
      </c>
      <c r="F35">
        <f t="shared" si="0"/>
        <v>24</v>
      </c>
      <c r="G35">
        <v>59</v>
      </c>
      <c r="H35">
        <v>168.8</v>
      </c>
      <c r="I35">
        <v>20.706520518407039</v>
      </c>
      <c r="J35">
        <v>12.4</v>
      </c>
      <c r="K35">
        <v>555</v>
      </c>
      <c r="L35">
        <v>62</v>
      </c>
      <c r="M35">
        <v>68</v>
      </c>
      <c r="N35">
        <v>73.481298481436781</v>
      </c>
      <c r="O35">
        <v>82.276925208247633</v>
      </c>
      <c r="P35" t="s">
        <v>29</v>
      </c>
      <c r="Q35">
        <v>0.20124749987178819</v>
      </c>
    </row>
    <row r="36" spans="1:17" x14ac:dyDescent="0.3">
      <c r="A36" t="s">
        <v>56</v>
      </c>
      <c r="B36" t="s">
        <v>31</v>
      </c>
      <c r="C36" s="2">
        <v>43649</v>
      </c>
      <c r="D36" t="s">
        <v>17</v>
      </c>
      <c r="E36" s="2">
        <v>35193</v>
      </c>
      <c r="F36">
        <f t="shared" si="0"/>
        <v>23</v>
      </c>
      <c r="G36">
        <v>50.1</v>
      </c>
      <c r="H36">
        <v>157</v>
      </c>
      <c r="I36">
        <v>20.32536816909408</v>
      </c>
      <c r="J36">
        <v>34</v>
      </c>
      <c r="K36">
        <v>528</v>
      </c>
      <c r="L36">
        <v>72</v>
      </c>
      <c r="M36">
        <v>72</v>
      </c>
      <c r="N36">
        <v>121.1437428690199</v>
      </c>
      <c r="O36">
        <v>78.835032972037581</v>
      </c>
      <c r="P36" t="s">
        <v>18</v>
      </c>
      <c r="Q36">
        <v>0.2200188156070508</v>
      </c>
    </row>
    <row r="37" spans="1:17" x14ac:dyDescent="0.3">
      <c r="A37" t="s">
        <v>57</v>
      </c>
      <c r="B37" t="s">
        <v>16</v>
      </c>
      <c r="C37" s="2">
        <v>43650</v>
      </c>
      <c r="D37" t="s">
        <v>17</v>
      </c>
      <c r="E37" s="2">
        <v>32568</v>
      </c>
      <c r="F37">
        <f t="shared" si="0"/>
        <v>30</v>
      </c>
      <c r="G37">
        <v>51.5</v>
      </c>
      <c r="H37">
        <v>161.5</v>
      </c>
      <c r="I37">
        <v>19.745229035071741</v>
      </c>
      <c r="J37">
        <v>28.9</v>
      </c>
      <c r="K37">
        <v>600</v>
      </c>
      <c r="L37">
        <v>89</v>
      </c>
      <c r="M37">
        <v>85</v>
      </c>
      <c r="N37">
        <v>125.3918495297806</v>
      </c>
      <c r="O37">
        <v>123.3299075025694</v>
      </c>
      <c r="P37" t="s">
        <v>21</v>
      </c>
      <c r="Q37">
        <v>0.21189898989898989</v>
      </c>
    </row>
    <row r="38" spans="1:17" x14ac:dyDescent="0.3">
      <c r="A38" t="s">
        <v>58</v>
      </c>
      <c r="B38" t="s">
        <v>31</v>
      </c>
      <c r="C38" s="2">
        <v>43657</v>
      </c>
      <c r="D38" t="s">
        <v>17</v>
      </c>
      <c r="E38" s="2">
        <v>37353</v>
      </c>
      <c r="F38">
        <f t="shared" si="0"/>
        <v>17</v>
      </c>
      <c r="G38">
        <v>54.9</v>
      </c>
      <c r="H38">
        <v>173</v>
      </c>
      <c r="I38">
        <v>18.34341274349293</v>
      </c>
      <c r="J38">
        <v>27.5</v>
      </c>
      <c r="K38">
        <v>576</v>
      </c>
      <c r="L38">
        <v>65</v>
      </c>
      <c r="M38">
        <v>56</v>
      </c>
      <c r="N38">
        <v>48.985990006858032</v>
      </c>
      <c r="O38">
        <v>66.520954100541672</v>
      </c>
      <c r="P38" t="s">
        <v>18</v>
      </c>
      <c r="Q38">
        <v>0.2124653624890816</v>
      </c>
    </row>
    <row r="39" spans="1:17" x14ac:dyDescent="0.3">
      <c r="A39" t="s">
        <v>59</v>
      </c>
      <c r="B39" t="s">
        <v>16</v>
      </c>
      <c r="C39" s="2">
        <v>43661</v>
      </c>
      <c r="D39" t="s">
        <v>17</v>
      </c>
      <c r="E39" s="2">
        <v>33172</v>
      </c>
      <c r="F39">
        <f t="shared" si="0"/>
        <v>28</v>
      </c>
      <c r="G39">
        <v>57.4</v>
      </c>
      <c r="H39">
        <v>168</v>
      </c>
      <c r="I39">
        <v>20.337301587301589</v>
      </c>
      <c r="J39">
        <v>22.3</v>
      </c>
      <c r="K39">
        <v>552</v>
      </c>
      <c r="L39">
        <v>49</v>
      </c>
      <c r="M39">
        <v>45</v>
      </c>
      <c r="N39">
        <v>155.1510136532892</v>
      </c>
      <c r="O39">
        <v>60.901339829476257</v>
      </c>
      <c r="P39" t="s">
        <v>21</v>
      </c>
      <c r="Q39">
        <v>0.1916930178548294</v>
      </c>
    </row>
    <row r="40" spans="1:17" x14ac:dyDescent="0.3">
      <c r="A40" t="s">
        <v>60</v>
      </c>
      <c r="B40" t="s">
        <v>31</v>
      </c>
      <c r="C40" s="2">
        <v>43661</v>
      </c>
      <c r="D40" t="s">
        <v>20</v>
      </c>
      <c r="E40" s="2">
        <v>35943</v>
      </c>
      <c r="F40">
        <f t="shared" si="0"/>
        <v>21</v>
      </c>
      <c r="G40">
        <v>57.8</v>
      </c>
      <c r="H40">
        <v>166.3</v>
      </c>
      <c r="I40">
        <v>20.899858220857979</v>
      </c>
      <c r="J40">
        <v>16.3</v>
      </c>
      <c r="K40">
        <v>513</v>
      </c>
      <c r="L40">
        <v>54</v>
      </c>
      <c r="M40">
        <v>52</v>
      </c>
      <c r="N40">
        <v>57.761732851985563</v>
      </c>
      <c r="O40">
        <v>47.204801402656948</v>
      </c>
      <c r="P40" t="s">
        <v>21</v>
      </c>
      <c r="Q40">
        <v>0.25079541488210211</v>
      </c>
    </row>
    <row r="41" spans="1:17" x14ac:dyDescent="0.3">
      <c r="A41" t="s">
        <v>61</v>
      </c>
      <c r="B41" t="s">
        <v>31</v>
      </c>
      <c r="C41" s="2">
        <v>43663</v>
      </c>
      <c r="D41" t="s">
        <v>17</v>
      </c>
      <c r="E41" s="2">
        <v>38022</v>
      </c>
      <c r="F41">
        <f t="shared" si="0"/>
        <v>15</v>
      </c>
      <c r="G41">
        <v>51.9</v>
      </c>
      <c r="H41">
        <v>165.5</v>
      </c>
      <c r="I41">
        <v>18.948348408649061</v>
      </c>
      <c r="J41">
        <v>24.1</v>
      </c>
      <c r="K41">
        <v>498</v>
      </c>
      <c r="L41">
        <v>71</v>
      </c>
      <c r="M41">
        <v>59</v>
      </c>
      <c r="N41">
        <v>87.336244541484703</v>
      </c>
      <c r="O41">
        <v>70.455612963832792</v>
      </c>
      <c r="P41" t="s">
        <v>18</v>
      </c>
      <c r="Q41">
        <v>0.2126229389163479</v>
      </c>
    </row>
    <row r="42" spans="1:17" x14ac:dyDescent="0.3">
      <c r="A42" t="s">
        <v>62</v>
      </c>
      <c r="B42" t="s">
        <v>31</v>
      </c>
      <c r="C42" s="2">
        <v>43664</v>
      </c>
      <c r="D42" t="s">
        <v>20</v>
      </c>
      <c r="E42" s="2">
        <v>36292</v>
      </c>
      <c r="F42">
        <f t="shared" si="0"/>
        <v>20</v>
      </c>
      <c r="G42">
        <v>53.8</v>
      </c>
      <c r="H42">
        <v>170</v>
      </c>
      <c r="I42">
        <v>18.615916955017301</v>
      </c>
      <c r="J42">
        <v>20.2</v>
      </c>
      <c r="K42">
        <v>600</v>
      </c>
      <c r="L42">
        <v>102</v>
      </c>
      <c r="M42">
        <v>98</v>
      </c>
      <c r="N42">
        <v>78.96625987078248</v>
      </c>
      <c r="O42">
        <v>67.069081153588186</v>
      </c>
      <c r="P42" t="s">
        <v>21</v>
      </c>
      <c r="Q42">
        <v>0.21274849333672871</v>
      </c>
    </row>
    <row r="43" spans="1:17" x14ac:dyDescent="0.3">
      <c r="A43" t="s">
        <v>63</v>
      </c>
      <c r="B43" t="s">
        <v>31</v>
      </c>
      <c r="C43" s="2">
        <v>43668</v>
      </c>
      <c r="D43" t="s">
        <v>17</v>
      </c>
      <c r="E43" s="2">
        <v>38036</v>
      </c>
      <c r="F43">
        <f t="shared" si="0"/>
        <v>15</v>
      </c>
      <c r="G43">
        <v>44</v>
      </c>
      <c r="H43">
        <v>150</v>
      </c>
      <c r="I43">
        <v>19.555555555555561</v>
      </c>
      <c r="J43">
        <v>31.9</v>
      </c>
      <c r="K43">
        <v>600</v>
      </c>
      <c r="L43">
        <v>90</v>
      </c>
      <c r="M43">
        <v>92</v>
      </c>
      <c r="N43">
        <v>140.70839398350321</v>
      </c>
      <c r="O43">
        <v>103.3348990136214</v>
      </c>
      <c r="P43" t="s">
        <v>18</v>
      </c>
      <c r="Q43">
        <v>0.20205492587180299</v>
      </c>
    </row>
    <row r="44" spans="1:17" x14ac:dyDescent="0.3">
      <c r="A44" t="s">
        <v>64</v>
      </c>
      <c r="B44" t="s">
        <v>31</v>
      </c>
      <c r="C44" s="2">
        <v>43670</v>
      </c>
      <c r="D44" t="s">
        <v>17</v>
      </c>
      <c r="E44" s="2">
        <v>38097</v>
      </c>
      <c r="F44">
        <f t="shared" si="0"/>
        <v>15</v>
      </c>
      <c r="G44">
        <v>53.7</v>
      </c>
      <c r="H44">
        <v>155</v>
      </c>
      <c r="I44">
        <v>22.35171696149844</v>
      </c>
      <c r="J44">
        <v>35.700000000000003</v>
      </c>
      <c r="K44">
        <v>534</v>
      </c>
      <c r="L44">
        <v>96</v>
      </c>
      <c r="M44">
        <v>85</v>
      </c>
      <c r="N44">
        <v>58.224163027656473</v>
      </c>
      <c r="O44">
        <v>93.940817285110384</v>
      </c>
      <c r="P44" t="s">
        <v>18</v>
      </c>
      <c r="Q44">
        <v>0.17795559197660521</v>
      </c>
    </row>
    <row r="45" spans="1:17" x14ac:dyDescent="0.3">
      <c r="A45" t="s">
        <v>65</v>
      </c>
      <c r="B45" t="s">
        <v>31</v>
      </c>
      <c r="C45" s="2">
        <v>43671</v>
      </c>
      <c r="D45" t="s">
        <v>17</v>
      </c>
      <c r="E45" s="2">
        <v>38175</v>
      </c>
      <c r="F45">
        <f t="shared" si="0"/>
        <v>15</v>
      </c>
      <c r="G45">
        <v>45.8</v>
      </c>
      <c r="H45">
        <v>158</v>
      </c>
      <c r="I45">
        <v>18.34641884313411</v>
      </c>
      <c r="J45">
        <v>31.1</v>
      </c>
      <c r="K45">
        <v>576</v>
      </c>
      <c r="L45">
        <v>102</v>
      </c>
      <c r="M45">
        <v>94</v>
      </c>
      <c r="N45">
        <v>135.85638039786511</v>
      </c>
      <c r="O45">
        <v>93.940817285110384</v>
      </c>
      <c r="P45" t="s">
        <v>18</v>
      </c>
      <c r="Q45">
        <v>0.21819769202987191</v>
      </c>
    </row>
    <row r="46" spans="1:17" x14ac:dyDescent="0.3">
      <c r="A46" t="s">
        <v>66</v>
      </c>
      <c r="B46" t="s">
        <v>31</v>
      </c>
      <c r="C46" s="2">
        <v>43677</v>
      </c>
      <c r="D46" t="s">
        <v>17</v>
      </c>
      <c r="E46" s="2">
        <v>36966</v>
      </c>
      <c r="F46">
        <f t="shared" si="0"/>
        <v>18</v>
      </c>
      <c r="G46">
        <v>58.3</v>
      </c>
      <c r="H46">
        <v>171.4</v>
      </c>
      <c r="I46">
        <v>19.84480882947625</v>
      </c>
      <c r="J46">
        <v>34.4</v>
      </c>
      <c r="K46">
        <v>462</v>
      </c>
      <c r="L46">
        <v>56</v>
      </c>
      <c r="M46">
        <v>45</v>
      </c>
      <c r="N46">
        <v>39.377830281551482</v>
      </c>
      <c r="O46">
        <v>38.233607340852608</v>
      </c>
      <c r="P46" t="s">
        <v>18</v>
      </c>
      <c r="Q46">
        <v>0.22630657350886901</v>
      </c>
    </row>
    <row r="47" spans="1:17" x14ac:dyDescent="0.3">
      <c r="A47" t="s">
        <v>67</v>
      </c>
      <c r="B47" t="s">
        <v>31</v>
      </c>
      <c r="C47" s="2">
        <v>43678</v>
      </c>
      <c r="D47" t="s">
        <v>17</v>
      </c>
      <c r="E47" s="2">
        <v>37389</v>
      </c>
      <c r="F47">
        <f t="shared" si="0"/>
        <v>17</v>
      </c>
      <c r="G47">
        <v>45.8</v>
      </c>
      <c r="H47">
        <v>159</v>
      </c>
      <c r="I47">
        <v>18.116371978956529</v>
      </c>
      <c r="J47">
        <v>39.6</v>
      </c>
      <c r="K47">
        <v>486</v>
      </c>
      <c r="L47">
        <v>71</v>
      </c>
      <c r="M47">
        <v>77</v>
      </c>
      <c r="N47">
        <v>117.5663760164593</v>
      </c>
      <c r="O47">
        <v>95.029934429345246</v>
      </c>
      <c r="P47" t="s">
        <v>21</v>
      </c>
      <c r="Q47">
        <v>0.18164273876692169</v>
      </c>
    </row>
    <row r="48" spans="1:17" x14ac:dyDescent="0.3">
      <c r="A48" t="s">
        <v>68</v>
      </c>
      <c r="B48" t="s">
        <v>31</v>
      </c>
      <c r="C48" s="2">
        <v>43685</v>
      </c>
      <c r="D48" t="s">
        <v>17</v>
      </c>
      <c r="E48" s="2">
        <v>37512</v>
      </c>
      <c r="F48">
        <f t="shared" si="0"/>
        <v>16</v>
      </c>
      <c r="G48">
        <v>45.8</v>
      </c>
      <c r="H48">
        <v>159</v>
      </c>
      <c r="I48">
        <v>18.116371978956529</v>
      </c>
      <c r="J48">
        <v>30.9</v>
      </c>
      <c r="K48">
        <v>525</v>
      </c>
      <c r="L48">
        <v>76</v>
      </c>
      <c r="M48">
        <v>69</v>
      </c>
      <c r="N48">
        <v>78.003120124804994</v>
      </c>
      <c r="O48">
        <v>75.585789871504161</v>
      </c>
      <c r="P48" t="s">
        <v>18</v>
      </c>
      <c r="Q48">
        <v>0.2185872566495404</v>
      </c>
    </row>
    <row r="49" spans="1:17" x14ac:dyDescent="0.3">
      <c r="A49" t="s">
        <v>69</v>
      </c>
      <c r="B49" t="s">
        <v>31</v>
      </c>
      <c r="C49" s="2">
        <v>43689</v>
      </c>
      <c r="D49" t="s">
        <v>17</v>
      </c>
      <c r="E49" s="2">
        <v>36824</v>
      </c>
      <c r="F49">
        <f t="shared" si="0"/>
        <v>18</v>
      </c>
      <c r="G49">
        <v>41</v>
      </c>
      <c r="H49">
        <v>156</v>
      </c>
      <c r="I49">
        <v>16.847468770545689</v>
      </c>
      <c r="J49">
        <v>32.299999999999997</v>
      </c>
      <c r="K49">
        <v>486</v>
      </c>
      <c r="L49">
        <v>70</v>
      </c>
      <c r="M49">
        <v>64</v>
      </c>
      <c r="N49">
        <v>98.444575703878698</v>
      </c>
      <c r="O49">
        <v>95.584018352131523</v>
      </c>
      <c r="P49" t="s">
        <v>29</v>
      </c>
      <c r="Q49">
        <v>0.23032214580337099</v>
      </c>
    </row>
    <row r="50" spans="1:17" x14ac:dyDescent="0.3">
      <c r="A50" t="s">
        <v>70</v>
      </c>
      <c r="B50" t="s">
        <v>31</v>
      </c>
      <c r="C50" s="2">
        <v>43692</v>
      </c>
      <c r="D50" t="s">
        <v>20</v>
      </c>
      <c r="E50" s="2">
        <v>36275</v>
      </c>
      <c r="F50">
        <f t="shared" si="0"/>
        <v>20</v>
      </c>
      <c r="G50">
        <v>57.5</v>
      </c>
      <c r="H50">
        <v>172</v>
      </c>
      <c r="I50">
        <v>19.43618171984857</v>
      </c>
      <c r="J50">
        <v>15.8</v>
      </c>
      <c r="K50">
        <v>684</v>
      </c>
      <c r="L50">
        <v>79</v>
      </c>
      <c r="M50">
        <v>60</v>
      </c>
      <c r="N50">
        <v>93.323761665470201</v>
      </c>
      <c r="O50">
        <v>93.896713615023458</v>
      </c>
      <c r="P50" t="s">
        <v>21</v>
      </c>
      <c r="Q50">
        <v>0.18819347484435811</v>
      </c>
    </row>
    <row r="51" spans="1:17" x14ac:dyDescent="0.3">
      <c r="A51" t="s">
        <v>71</v>
      </c>
      <c r="B51" t="s">
        <v>16</v>
      </c>
      <c r="C51" s="2">
        <v>43698</v>
      </c>
      <c r="D51" t="s">
        <v>17</v>
      </c>
      <c r="E51" s="2">
        <v>35515</v>
      </c>
      <c r="F51">
        <f t="shared" si="0"/>
        <v>22</v>
      </c>
      <c r="G51">
        <v>67.900000000000006</v>
      </c>
      <c r="H51">
        <v>162</v>
      </c>
      <c r="I51">
        <v>25.872580399329369</v>
      </c>
      <c r="J51">
        <v>31.5</v>
      </c>
      <c r="K51">
        <v>543</v>
      </c>
      <c r="L51">
        <v>72</v>
      </c>
      <c r="M51">
        <v>72</v>
      </c>
      <c r="N51">
        <v>150.57217426219631</v>
      </c>
      <c r="O51">
        <v>117.4398120963007</v>
      </c>
      <c r="P51" t="s">
        <v>18</v>
      </c>
      <c r="Q51">
        <v>0.19736660481337431</v>
      </c>
    </row>
    <row r="52" spans="1:17" x14ac:dyDescent="0.3">
      <c r="A52" t="s">
        <v>72</v>
      </c>
      <c r="B52" t="s">
        <v>31</v>
      </c>
      <c r="C52" s="2">
        <v>43699</v>
      </c>
      <c r="D52" t="s">
        <v>17</v>
      </c>
      <c r="E52" s="2">
        <v>37479</v>
      </c>
      <c r="F52">
        <f t="shared" si="0"/>
        <v>17</v>
      </c>
      <c r="G52">
        <v>41.7</v>
      </c>
      <c r="H52">
        <v>156</v>
      </c>
      <c r="I52">
        <v>17.135108481262328</v>
      </c>
      <c r="J52">
        <v>23.2</v>
      </c>
      <c r="K52">
        <v>660</v>
      </c>
      <c r="L52">
        <v>89</v>
      </c>
      <c r="M52">
        <v>93</v>
      </c>
      <c r="N52">
        <v>127.3635740178309</v>
      </c>
      <c r="O52">
        <v>95.029934429345246</v>
      </c>
      <c r="P52" t="s">
        <v>29</v>
      </c>
      <c r="Q52">
        <v>0.2140102669514434</v>
      </c>
    </row>
    <row r="53" spans="1:17" x14ac:dyDescent="0.3">
      <c r="A53" t="s">
        <v>73</v>
      </c>
      <c r="B53" t="s">
        <v>31</v>
      </c>
      <c r="C53" s="2">
        <v>43703</v>
      </c>
      <c r="D53" t="s">
        <v>17</v>
      </c>
      <c r="E53" s="2">
        <v>36754</v>
      </c>
      <c r="F53">
        <f t="shared" si="0"/>
        <v>19</v>
      </c>
      <c r="G53">
        <v>45.6</v>
      </c>
      <c r="H53">
        <v>156</v>
      </c>
      <c r="I53">
        <v>18.737672583826431</v>
      </c>
      <c r="J53">
        <v>27</v>
      </c>
      <c r="K53">
        <v>489</v>
      </c>
      <c r="L53">
        <v>99</v>
      </c>
      <c r="M53">
        <v>87</v>
      </c>
      <c r="N53">
        <v>64.299139380749821</v>
      </c>
      <c r="O53">
        <v>43.265070666282092</v>
      </c>
      <c r="P53" t="s">
        <v>29</v>
      </c>
      <c r="Q53">
        <v>0.20710620871448079</v>
      </c>
    </row>
    <row r="54" spans="1:17" x14ac:dyDescent="0.3">
      <c r="A54" t="s">
        <v>74</v>
      </c>
      <c r="B54" t="s">
        <v>31</v>
      </c>
      <c r="C54" s="2">
        <v>43738</v>
      </c>
      <c r="D54" t="s">
        <v>20</v>
      </c>
      <c r="E54" s="2">
        <v>36302</v>
      </c>
      <c r="F54">
        <f t="shared" si="0"/>
        <v>20</v>
      </c>
      <c r="G54">
        <v>72</v>
      </c>
      <c r="H54">
        <v>170</v>
      </c>
      <c r="I54">
        <v>24.913494809688579</v>
      </c>
      <c r="J54">
        <v>18.600000000000001</v>
      </c>
      <c r="K54">
        <v>624</v>
      </c>
      <c r="L54">
        <v>97</v>
      </c>
      <c r="M54">
        <v>99</v>
      </c>
      <c r="N54">
        <v>86.14501076812634</v>
      </c>
      <c r="O54">
        <v>73.775989268947001</v>
      </c>
      <c r="P54" t="s">
        <v>21</v>
      </c>
      <c r="Q54">
        <v>0.23424191639877909</v>
      </c>
    </row>
    <row r="55" spans="1:17" x14ac:dyDescent="0.3">
      <c r="A55" t="s">
        <v>75</v>
      </c>
      <c r="B55" t="s">
        <v>31</v>
      </c>
      <c r="C55" s="2">
        <v>43752</v>
      </c>
      <c r="D55" t="s">
        <v>20</v>
      </c>
      <c r="E55" s="2">
        <v>34780</v>
      </c>
      <c r="F55">
        <f t="shared" si="0"/>
        <v>24</v>
      </c>
      <c r="G55">
        <v>89.3</v>
      </c>
      <c r="H55">
        <v>183</v>
      </c>
      <c r="I55">
        <v>26.665472244617629</v>
      </c>
      <c r="J55">
        <v>22.9</v>
      </c>
      <c r="K55">
        <v>609</v>
      </c>
      <c r="L55">
        <v>83</v>
      </c>
      <c r="M55">
        <v>77</v>
      </c>
      <c r="N55">
        <v>110.21307861866271</v>
      </c>
      <c r="O55">
        <v>89.126559714794993</v>
      </c>
      <c r="P55" t="s">
        <v>18</v>
      </c>
      <c r="Q55">
        <v>0.1928105613769423</v>
      </c>
    </row>
    <row r="56" spans="1:17" x14ac:dyDescent="0.3">
      <c r="A56" t="s">
        <v>76</v>
      </c>
      <c r="B56" t="s">
        <v>31</v>
      </c>
      <c r="C56" s="2">
        <v>43752</v>
      </c>
      <c r="D56" t="s">
        <v>17</v>
      </c>
      <c r="E56" s="2">
        <v>36718</v>
      </c>
      <c r="F56">
        <f t="shared" si="0"/>
        <v>19</v>
      </c>
      <c r="G56">
        <v>53.4</v>
      </c>
      <c r="H56">
        <v>159.30000000000001</v>
      </c>
      <c r="I56">
        <v>21.043099341161831</v>
      </c>
      <c r="J56">
        <v>28.2</v>
      </c>
      <c r="K56">
        <v>468</v>
      </c>
      <c r="L56">
        <v>84</v>
      </c>
      <c r="M56">
        <v>84</v>
      </c>
      <c r="N56">
        <v>148.3826293401919</v>
      </c>
      <c r="O56">
        <v>86.530141332564185</v>
      </c>
      <c r="P56" t="s">
        <v>18</v>
      </c>
      <c r="Q56">
        <v>0.21284738475407841</v>
      </c>
    </row>
    <row r="57" spans="1:17" x14ac:dyDescent="0.3">
      <c r="A57" t="s">
        <v>77</v>
      </c>
      <c r="B57" t="s">
        <v>31</v>
      </c>
      <c r="C57" s="2">
        <v>43754</v>
      </c>
      <c r="D57" t="s">
        <v>17</v>
      </c>
      <c r="E57" s="2">
        <v>36832</v>
      </c>
      <c r="F57">
        <f t="shared" si="0"/>
        <v>18</v>
      </c>
      <c r="G57">
        <v>66.3</v>
      </c>
      <c r="H57">
        <v>163.5</v>
      </c>
      <c r="I57">
        <v>24.80150380158797</v>
      </c>
      <c r="J57">
        <v>35.700000000000003</v>
      </c>
      <c r="K57">
        <v>468</v>
      </c>
      <c r="L57">
        <v>74</v>
      </c>
      <c r="M57">
        <v>71</v>
      </c>
      <c r="N57">
        <v>49.222287851939349</v>
      </c>
      <c r="O57">
        <v>66.908812846492069</v>
      </c>
      <c r="P57" t="s">
        <v>18</v>
      </c>
      <c r="Q57">
        <v>0.2158062779180791</v>
      </c>
    </row>
    <row r="58" spans="1:17" x14ac:dyDescent="0.3">
      <c r="A58" t="s">
        <v>78</v>
      </c>
      <c r="B58" t="s">
        <v>31</v>
      </c>
      <c r="C58" s="2">
        <v>43761</v>
      </c>
      <c r="D58" t="s">
        <v>17</v>
      </c>
      <c r="E58" s="2">
        <v>36738</v>
      </c>
      <c r="F58">
        <f t="shared" si="0"/>
        <v>19</v>
      </c>
      <c r="G58">
        <v>50.3</v>
      </c>
      <c r="H58">
        <v>164.4</v>
      </c>
      <c r="I58">
        <v>18.610770715304781</v>
      </c>
      <c r="J58">
        <v>31.5</v>
      </c>
      <c r="K58">
        <v>489</v>
      </c>
      <c r="L58">
        <v>67</v>
      </c>
      <c r="M58">
        <v>63</v>
      </c>
      <c r="N58">
        <v>98.921752893461274</v>
      </c>
      <c r="O58">
        <v>76.915681184501494</v>
      </c>
      <c r="P58" t="s">
        <v>18</v>
      </c>
      <c r="Q58">
        <v>0.19010322965814361</v>
      </c>
    </row>
    <row r="59" spans="1:17" x14ac:dyDescent="0.3">
      <c r="A59" t="s">
        <v>79</v>
      </c>
      <c r="B59" t="s">
        <v>16</v>
      </c>
      <c r="C59" s="2">
        <v>43761</v>
      </c>
      <c r="D59" t="s">
        <v>17</v>
      </c>
      <c r="E59" s="2">
        <v>33078</v>
      </c>
      <c r="F59">
        <f t="shared" si="0"/>
        <v>29</v>
      </c>
      <c r="G59">
        <v>65.900000000000006</v>
      </c>
      <c r="H59">
        <v>170.6</v>
      </c>
      <c r="I59">
        <v>22.64265560211598</v>
      </c>
      <c r="J59">
        <v>30.4</v>
      </c>
      <c r="K59">
        <v>612</v>
      </c>
      <c r="L59">
        <v>76</v>
      </c>
      <c r="M59">
        <v>68</v>
      </c>
      <c r="N59">
        <v>72.772637488304397</v>
      </c>
      <c r="O59">
        <v>71.494229394341744</v>
      </c>
      <c r="P59" t="s">
        <v>18</v>
      </c>
      <c r="Q59">
        <v>0.2006079728571605</v>
      </c>
    </row>
    <row r="60" spans="1:17" x14ac:dyDescent="0.3">
      <c r="A60" t="s">
        <v>80</v>
      </c>
      <c r="B60" t="s">
        <v>31</v>
      </c>
      <c r="C60" s="2">
        <v>43773</v>
      </c>
      <c r="D60" t="s">
        <v>20</v>
      </c>
      <c r="E60" s="2">
        <v>35289</v>
      </c>
      <c r="F60">
        <f t="shared" si="0"/>
        <v>23</v>
      </c>
      <c r="G60">
        <v>47.8</v>
      </c>
      <c r="H60">
        <v>157.5</v>
      </c>
      <c r="I60">
        <v>19.26933736457546</v>
      </c>
      <c r="J60">
        <v>31.1</v>
      </c>
      <c r="K60">
        <v>414</v>
      </c>
      <c r="L60">
        <v>66</v>
      </c>
      <c r="M60">
        <v>59</v>
      </c>
      <c r="N60">
        <v>87.655222790357925</v>
      </c>
      <c r="O60">
        <v>47.726188041180883</v>
      </c>
      <c r="P60" t="s">
        <v>29</v>
      </c>
      <c r="Q60">
        <v>0.21429678590803911</v>
      </c>
    </row>
    <row r="61" spans="1:17" x14ac:dyDescent="0.3">
      <c r="A61" t="s">
        <v>81</v>
      </c>
      <c r="B61" t="s">
        <v>16</v>
      </c>
      <c r="C61" s="2">
        <v>43845</v>
      </c>
      <c r="D61" t="s">
        <v>17</v>
      </c>
      <c r="E61" s="2">
        <v>34716</v>
      </c>
      <c r="F61">
        <f t="shared" si="0"/>
        <v>24</v>
      </c>
      <c r="G61">
        <v>71.099999999999994</v>
      </c>
      <c r="H61">
        <v>168.1</v>
      </c>
      <c r="I61">
        <v>25.161363611430691</v>
      </c>
      <c r="J61">
        <v>26.7</v>
      </c>
      <c r="K61">
        <v>606</v>
      </c>
      <c r="L61">
        <v>85</v>
      </c>
      <c r="M61">
        <v>73</v>
      </c>
      <c r="N61">
        <v>111.5166261151663</v>
      </c>
      <c r="O61">
        <v>138.66877971473849</v>
      </c>
      <c r="P61" t="s">
        <v>18</v>
      </c>
      <c r="Q61">
        <v>0.1755289479540324</v>
      </c>
    </row>
    <row r="62" spans="1:17" x14ac:dyDescent="0.3">
      <c r="A62" t="s">
        <v>82</v>
      </c>
      <c r="B62" t="s">
        <v>83</v>
      </c>
      <c r="C62" s="2">
        <v>43874</v>
      </c>
      <c r="D62" t="s">
        <v>20</v>
      </c>
      <c r="E62" s="2">
        <v>32116</v>
      </c>
      <c r="F62">
        <f t="shared" si="0"/>
        <v>32</v>
      </c>
      <c r="G62">
        <v>86.8</v>
      </c>
      <c r="H62">
        <v>181.6</v>
      </c>
      <c r="I62">
        <v>26.32013041200101</v>
      </c>
      <c r="J62">
        <v>18.5</v>
      </c>
      <c r="K62">
        <v>714</v>
      </c>
      <c r="L62">
        <v>94</v>
      </c>
      <c r="M62">
        <v>95</v>
      </c>
      <c r="N62">
        <v>77.101002313030065</v>
      </c>
      <c r="O62">
        <v>107.6194575979337</v>
      </c>
      <c r="P62" t="s">
        <v>18</v>
      </c>
      <c r="Q62">
        <v>0.15470182492899509</v>
      </c>
    </row>
    <row r="63" spans="1:17" x14ac:dyDescent="0.3">
      <c r="A63" t="s">
        <v>84</v>
      </c>
      <c r="B63" t="s">
        <v>83</v>
      </c>
      <c r="C63" s="2">
        <v>43873</v>
      </c>
      <c r="D63" t="s">
        <v>20</v>
      </c>
      <c r="E63" s="2">
        <v>33162</v>
      </c>
      <c r="F63">
        <f t="shared" si="0"/>
        <v>29</v>
      </c>
      <c r="G63">
        <v>72.5</v>
      </c>
      <c r="H63">
        <v>176.7</v>
      </c>
      <c r="I63">
        <v>23.220143939270201</v>
      </c>
      <c r="J63">
        <v>13.4</v>
      </c>
      <c r="K63">
        <v>642</v>
      </c>
      <c r="L63">
        <v>102</v>
      </c>
      <c r="M63">
        <v>102</v>
      </c>
      <c r="N63">
        <v>113.5503406510219</v>
      </c>
      <c r="O63">
        <v>77.568577674352994</v>
      </c>
      <c r="P63" t="s">
        <v>21</v>
      </c>
      <c r="Q63">
        <v>0.15800444624480389</v>
      </c>
    </row>
    <row r="64" spans="1:17" x14ac:dyDescent="0.3">
      <c r="A64" t="s">
        <v>85</v>
      </c>
      <c r="B64" t="s">
        <v>83</v>
      </c>
      <c r="C64" s="2">
        <v>43868</v>
      </c>
      <c r="D64" t="s">
        <v>17</v>
      </c>
      <c r="E64" s="2">
        <v>34189</v>
      </c>
      <c r="F64">
        <f t="shared" si="0"/>
        <v>26</v>
      </c>
      <c r="G64">
        <v>61.9</v>
      </c>
      <c r="H64">
        <v>165.3</v>
      </c>
      <c r="I64">
        <v>22.65400238397692</v>
      </c>
      <c r="J64">
        <v>29.6</v>
      </c>
      <c r="K64">
        <v>660</v>
      </c>
      <c r="L64">
        <v>97</v>
      </c>
      <c r="M64">
        <v>90</v>
      </c>
      <c r="N64">
        <v>153.59410198648371</v>
      </c>
      <c r="O64">
        <v>120.312813314618</v>
      </c>
      <c r="P64" t="s">
        <v>18</v>
      </c>
      <c r="Q64">
        <v>0.17186147186147191</v>
      </c>
    </row>
    <row r="65" spans="1:17" x14ac:dyDescent="0.3">
      <c r="A65" t="s">
        <v>86</v>
      </c>
      <c r="B65" t="s">
        <v>83</v>
      </c>
      <c r="C65" s="2">
        <v>43878</v>
      </c>
      <c r="D65" t="s">
        <v>17</v>
      </c>
      <c r="E65" s="2">
        <v>33049</v>
      </c>
      <c r="F65">
        <f t="shared" si="0"/>
        <v>29</v>
      </c>
      <c r="G65">
        <v>65.5</v>
      </c>
      <c r="H65">
        <v>167.8</v>
      </c>
      <c r="I65">
        <v>23.262553610419349</v>
      </c>
      <c r="J65">
        <v>31.2</v>
      </c>
      <c r="K65">
        <v>693</v>
      </c>
      <c r="L65">
        <v>100</v>
      </c>
      <c r="M65">
        <v>102</v>
      </c>
      <c r="N65">
        <v>155.94136604636651</v>
      </c>
      <c r="O65">
        <v>122.5615361045858</v>
      </c>
      <c r="P65" t="s">
        <v>21</v>
      </c>
      <c r="Q65">
        <v>0.16145333143304741</v>
      </c>
    </row>
    <row r="66" spans="1:17" x14ac:dyDescent="0.3">
      <c r="A66" t="s">
        <v>87</v>
      </c>
      <c r="B66" t="s">
        <v>83</v>
      </c>
      <c r="C66" s="2">
        <v>43880</v>
      </c>
      <c r="D66" t="s">
        <v>17</v>
      </c>
      <c r="E66" s="2">
        <v>37182</v>
      </c>
      <c r="F66">
        <f t="shared" si="0"/>
        <v>18</v>
      </c>
      <c r="G66">
        <v>53.6</v>
      </c>
      <c r="H66">
        <v>168.4</v>
      </c>
      <c r="I66">
        <v>18.900818659339539</v>
      </c>
      <c r="J66">
        <v>24.9</v>
      </c>
      <c r="K66">
        <v>780</v>
      </c>
      <c r="L66">
        <v>95</v>
      </c>
      <c r="M66">
        <v>85</v>
      </c>
      <c r="N66">
        <v>147.66686355581811</v>
      </c>
      <c r="O66">
        <v>105.1424201873447</v>
      </c>
      <c r="P66" t="s">
        <v>18</v>
      </c>
      <c r="Q66">
        <v>0.2168159348466254</v>
      </c>
    </row>
    <row r="67" spans="1:17" x14ac:dyDescent="0.3">
      <c r="A67" t="s">
        <v>88</v>
      </c>
      <c r="B67" t="s">
        <v>83</v>
      </c>
      <c r="C67" s="2">
        <v>43881</v>
      </c>
      <c r="D67" t="s">
        <v>17</v>
      </c>
      <c r="E67" s="2">
        <v>32441</v>
      </c>
      <c r="F67">
        <f t="shared" ref="F67:F88" si="1">INT((C67-E67)/365.25)</f>
        <v>31</v>
      </c>
      <c r="G67">
        <v>56.8</v>
      </c>
      <c r="H67">
        <v>164.6</v>
      </c>
      <c r="I67">
        <v>20.964701053697691</v>
      </c>
      <c r="J67">
        <v>26.1</v>
      </c>
      <c r="K67">
        <v>666</v>
      </c>
      <c r="L67">
        <v>121</v>
      </c>
      <c r="M67">
        <v>108</v>
      </c>
      <c r="N67">
        <v>115.5340825543535</v>
      </c>
      <c r="O67">
        <v>124.1079739373255</v>
      </c>
      <c r="P67" t="s">
        <v>18</v>
      </c>
      <c r="Q67">
        <v>0.18278724972436941</v>
      </c>
    </row>
    <row r="68" spans="1:17" x14ac:dyDescent="0.3">
      <c r="A68" t="s">
        <v>89</v>
      </c>
      <c r="B68" t="s">
        <v>83</v>
      </c>
      <c r="C68" s="2">
        <v>43894</v>
      </c>
      <c r="D68" t="s">
        <v>20</v>
      </c>
      <c r="E68" s="2">
        <v>38076</v>
      </c>
      <c r="F68">
        <f t="shared" si="1"/>
        <v>15</v>
      </c>
      <c r="G68">
        <v>58.4</v>
      </c>
      <c r="H68">
        <v>167.2</v>
      </c>
      <c r="I68">
        <v>20.890089512602739</v>
      </c>
      <c r="J68">
        <v>15.5</v>
      </c>
      <c r="K68">
        <v>585</v>
      </c>
      <c r="L68">
        <v>88</v>
      </c>
      <c r="M68">
        <v>92</v>
      </c>
      <c r="N68">
        <v>90.718771807397061</v>
      </c>
      <c r="O68">
        <v>78.354554358472086</v>
      </c>
      <c r="P68" t="s">
        <v>18</v>
      </c>
      <c r="Q68">
        <v>0.18955905833733891</v>
      </c>
    </row>
    <row r="69" spans="1:17" x14ac:dyDescent="0.3">
      <c r="A69" t="s">
        <v>90</v>
      </c>
      <c r="B69" t="s">
        <v>83</v>
      </c>
      <c r="C69" s="2">
        <v>43895</v>
      </c>
      <c r="D69" t="s">
        <v>17</v>
      </c>
      <c r="E69" s="2">
        <v>37655</v>
      </c>
      <c r="F69">
        <f t="shared" si="1"/>
        <v>17</v>
      </c>
      <c r="G69">
        <v>53.2</v>
      </c>
      <c r="H69">
        <v>160.5</v>
      </c>
      <c r="I69">
        <v>20.651973486282159</v>
      </c>
      <c r="J69">
        <v>34</v>
      </c>
      <c r="K69">
        <v>534</v>
      </c>
      <c r="L69">
        <v>87</v>
      </c>
      <c r="M69">
        <v>97</v>
      </c>
      <c r="N69">
        <v>146.95797002057409</v>
      </c>
      <c r="O69">
        <v>123.53891475814881</v>
      </c>
      <c r="P69" t="s">
        <v>18</v>
      </c>
      <c r="Q69">
        <v>0.18553725374999819</v>
      </c>
    </row>
    <row r="70" spans="1:17" x14ac:dyDescent="0.3">
      <c r="A70" t="s">
        <v>91</v>
      </c>
      <c r="B70" t="s">
        <v>83</v>
      </c>
      <c r="C70" s="2">
        <v>43975</v>
      </c>
      <c r="D70" t="s">
        <v>17</v>
      </c>
      <c r="E70" s="2">
        <v>35209</v>
      </c>
      <c r="F70">
        <f t="shared" si="1"/>
        <v>24</v>
      </c>
      <c r="G70">
        <v>72.7</v>
      </c>
      <c r="H70">
        <v>161.80000000000001</v>
      </c>
      <c r="I70">
        <v>27.770095694145439</v>
      </c>
      <c r="J70">
        <v>41.7</v>
      </c>
      <c r="K70">
        <v>621</v>
      </c>
      <c r="L70">
        <v>107</v>
      </c>
      <c r="M70">
        <v>97</v>
      </c>
      <c r="N70">
        <v>152.06812652068129</v>
      </c>
      <c r="O70">
        <v>99.049128367670363</v>
      </c>
      <c r="P70" t="s">
        <v>18</v>
      </c>
      <c r="Q70">
        <v>0.16997179014418759</v>
      </c>
    </row>
    <row r="71" spans="1:17" x14ac:dyDescent="0.3">
      <c r="A71" t="s">
        <v>92</v>
      </c>
      <c r="B71" t="s">
        <v>83</v>
      </c>
      <c r="C71" s="2">
        <v>43902</v>
      </c>
      <c r="D71" t="s">
        <v>17</v>
      </c>
      <c r="E71" s="2">
        <v>36542</v>
      </c>
      <c r="F71">
        <f t="shared" si="1"/>
        <v>20</v>
      </c>
      <c r="G71">
        <v>40.5</v>
      </c>
      <c r="H71">
        <v>153</v>
      </c>
      <c r="I71">
        <v>17.301038062283741</v>
      </c>
      <c r="J71">
        <v>34.6</v>
      </c>
      <c r="K71">
        <v>585</v>
      </c>
      <c r="L71">
        <v>78</v>
      </c>
      <c r="M71">
        <v>67</v>
      </c>
      <c r="N71">
        <v>49.701789264413513</v>
      </c>
      <c r="O71">
        <v>67.698259187620891</v>
      </c>
      <c r="P71" t="s">
        <v>18</v>
      </c>
      <c r="Q71">
        <v>0.19191578699043471</v>
      </c>
    </row>
    <row r="72" spans="1:17" x14ac:dyDescent="0.3">
      <c r="A72" t="s">
        <v>93</v>
      </c>
      <c r="B72" t="s">
        <v>83</v>
      </c>
      <c r="C72" s="2">
        <v>44074</v>
      </c>
      <c r="D72" t="s">
        <v>17</v>
      </c>
      <c r="E72" s="2">
        <v>37014</v>
      </c>
      <c r="F72">
        <f t="shared" si="1"/>
        <v>19</v>
      </c>
      <c r="G72">
        <v>54.7</v>
      </c>
      <c r="H72">
        <v>155.5</v>
      </c>
      <c r="I72">
        <v>22.621767765014841</v>
      </c>
      <c r="J72">
        <v>31.3</v>
      </c>
      <c r="K72">
        <v>540</v>
      </c>
      <c r="L72">
        <v>88</v>
      </c>
      <c r="M72">
        <v>90</v>
      </c>
      <c r="N72">
        <v>49.460876446730637</v>
      </c>
      <c r="O72">
        <v>96.144601480626875</v>
      </c>
      <c r="P72" t="s">
        <v>18</v>
      </c>
      <c r="Q72">
        <v>0.17617283950617291</v>
      </c>
    </row>
    <row r="73" spans="1:17" x14ac:dyDescent="0.3">
      <c r="A73" t="s">
        <v>94</v>
      </c>
      <c r="B73" t="s">
        <v>83</v>
      </c>
      <c r="C73" s="2">
        <v>44076</v>
      </c>
      <c r="D73" t="s">
        <v>20</v>
      </c>
      <c r="E73" s="2">
        <v>36157</v>
      </c>
      <c r="F73">
        <f t="shared" si="1"/>
        <v>21</v>
      </c>
      <c r="G73">
        <v>56.5</v>
      </c>
      <c r="H73">
        <v>175.2</v>
      </c>
      <c r="I73">
        <v>18.406882675507191</v>
      </c>
      <c r="J73">
        <v>8.1999999999999993</v>
      </c>
      <c r="K73">
        <v>675</v>
      </c>
      <c r="L73">
        <v>77</v>
      </c>
      <c r="M73">
        <v>86</v>
      </c>
      <c r="N73">
        <v>72.202166064981952</v>
      </c>
      <c r="O73">
        <v>87.666059747791479</v>
      </c>
      <c r="P73" t="s">
        <v>18</v>
      </c>
      <c r="Q73">
        <v>0.18150670794633639</v>
      </c>
    </row>
    <row r="74" spans="1:17" x14ac:dyDescent="0.3">
      <c r="A74" t="s">
        <v>95</v>
      </c>
      <c r="B74" t="s">
        <v>83</v>
      </c>
      <c r="C74" s="2">
        <v>44083</v>
      </c>
      <c r="D74" t="s">
        <v>20</v>
      </c>
      <c r="E74" s="2">
        <v>35609</v>
      </c>
      <c r="F74">
        <f t="shared" si="1"/>
        <v>23</v>
      </c>
      <c r="G74">
        <v>82.3</v>
      </c>
      <c r="H74">
        <v>183.3</v>
      </c>
      <c r="I74">
        <v>24.49485682413912</v>
      </c>
      <c r="J74">
        <v>18.3</v>
      </c>
      <c r="K74">
        <v>666</v>
      </c>
      <c r="L74">
        <v>87</v>
      </c>
      <c r="M74">
        <v>90</v>
      </c>
      <c r="N74">
        <v>87.655222790357925</v>
      </c>
      <c r="O74">
        <v>102.2704029453876</v>
      </c>
      <c r="P74" t="s">
        <v>21</v>
      </c>
      <c r="Q74">
        <v>0.1581842023018494</v>
      </c>
    </row>
    <row r="75" spans="1:17" x14ac:dyDescent="0.3">
      <c r="A75" t="s">
        <v>96</v>
      </c>
      <c r="B75" t="s">
        <v>83</v>
      </c>
      <c r="C75" s="2">
        <v>44088</v>
      </c>
      <c r="D75" t="s">
        <v>20</v>
      </c>
      <c r="E75" s="2">
        <v>35733</v>
      </c>
      <c r="F75">
        <f t="shared" si="1"/>
        <v>22</v>
      </c>
      <c r="G75">
        <v>70.5</v>
      </c>
      <c r="H75">
        <v>169</v>
      </c>
      <c r="I75">
        <v>24.684009663527188</v>
      </c>
      <c r="J75">
        <v>15.4</v>
      </c>
      <c r="K75">
        <v>594</v>
      </c>
      <c r="L75">
        <v>110</v>
      </c>
      <c r="M75">
        <v>119</v>
      </c>
      <c r="N75">
        <v>87.145969498910674</v>
      </c>
      <c r="O75">
        <v>101.7087062652563</v>
      </c>
      <c r="P75" t="s">
        <v>21</v>
      </c>
      <c r="Q75">
        <v>0.1685924739789964</v>
      </c>
    </row>
    <row r="76" spans="1:17" x14ac:dyDescent="0.3">
      <c r="A76" t="s">
        <v>97</v>
      </c>
      <c r="B76" t="s">
        <v>83</v>
      </c>
      <c r="C76" s="2">
        <v>44118</v>
      </c>
      <c r="D76" t="s">
        <v>17</v>
      </c>
      <c r="E76" s="2">
        <v>34511</v>
      </c>
      <c r="F76">
        <f t="shared" si="1"/>
        <v>26</v>
      </c>
      <c r="G76">
        <v>79.2</v>
      </c>
      <c r="H76">
        <v>165.8</v>
      </c>
      <c r="I76">
        <v>28.81085383438997</v>
      </c>
      <c r="J76">
        <v>36.799999999999997</v>
      </c>
      <c r="K76">
        <v>537</v>
      </c>
      <c r="L76">
        <v>85</v>
      </c>
      <c r="M76">
        <v>78</v>
      </c>
      <c r="N76">
        <v>131.79237631792381</v>
      </c>
      <c r="O76">
        <v>138.66877971473849</v>
      </c>
      <c r="P76" t="s">
        <v>18</v>
      </c>
      <c r="Q76">
        <v>0.15443057815395761</v>
      </c>
    </row>
    <row r="77" spans="1:17" x14ac:dyDescent="0.3">
      <c r="A77" t="s">
        <v>98</v>
      </c>
      <c r="B77" t="s">
        <v>83</v>
      </c>
      <c r="C77" s="2">
        <v>44125</v>
      </c>
      <c r="D77" t="s">
        <v>17</v>
      </c>
      <c r="E77" s="2">
        <v>35467</v>
      </c>
      <c r="F77">
        <f t="shared" si="1"/>
        <v>23</v>
      </c>
      <c r="G77">
        <v>62.7</v>
      </c>
      <c r="H77">
        <v>161.9</v>
      </c>
      <c r="I77">
        <v>23.920697736613661</v>
      </c>
      <c r="J77">
        <v>27.6</v>
      </c>
      <c r="K77">
        <v>708</v>
      </c>
      <c r="L77">
        <v>117</v>
      </c>
      <c r="M77">
        <v>112</v>
      </c>
      <c r="N77">
        <v>80.702108342580445</v>
      </c>
      <c r="O77">
        <v>98.454267992517487</v>
      </c>
      <c r="P77" t="s">
        <v>29</v>
      </c>
      <c r="Q77">
        <v>0.17542372881355939</v>
      </c>
    </row>
    <row r="78" spans="1:17" x14ac:dyDescent="0.3">
      <c r="A78" t="s">
        <v>99</v>
      </c>
      <c r="B78" t="s">
        <v>83</v>
      </c>
      <c r="C78" s="2">
        <v>44130</v>
      </c>
      <c r="D78" t="s">
        <v>17</v>
      </c>
      <c r="E78" s="2">
        <v>38033</v>
      </c>
      <c r="F78">
        <f t="shared" si="1"/>
        <v>16</v>
      </c>
      <c r="G78">
        <v>36.4</v>
      </c>
      <c r="H78">
        <v>154</v>
      </c>
      <c r="I78">
        <v>15.3482880755608</v>
      </c>
      <c r="J78">
        <v>33.9</v>
      </c>
      <c r="K78">
        <v>522</v>
      </c>
      <c r="L78">
        <v>79</v>
      </c>
      <c r="M78">
        <v>76</v>
      </c>
      <c r="N78">
        <v>97.503900156006239</v>
      </c>
      <c r="O78">
        <v>56.689342403628132</v>
      </c>
      <c r="P78" t="s">
        <v>18</v>
      </c>
      <c r="Q78">
        <v>0.176736062229748</v>
      </c>
    </row>
    <row r="79" spans="1:17" x14ac:dyDescent="0.3">
      <c r="A79" t="s">
        <v>100</v>
      </c>
      <c r="B79" t="s">
        <v>83</v>
      </c>
      <c r="C79" s="2">
        <v>44146</v>
      </c>
      <c r="D79" t="s">
        <v>17</v>
      </c>
      <c r="E79" s="2">
        <v>36075</v>
      </c>
      <c r="F79">
        <f t="shared" si="1"/>
        <v>22</v>
      </c>
      <c r="G79">
        <v>62.6</v>
      </c>
      <c r="H79">
        <v>165.2</v>
      </c>
      <c r="I79">
        <v>22.937931277078491</v>
      </c>
      <c r="J79">
        <v>26.7</v>
      </c>
      <c r="K79">
        <v>510</v>
      </c>
      <c r="L79">
        <v>102</v>
      </c>
      <c r="M79">
        <v>114</v>
      </c>
      <c r="N79">
        <v>130.49588436057019</v>
      </c>
      <c r="O79">
        <v>137.01311411235079</v>
      </c>
      <c r="P79" t="s">
        <v>18</v>
      </c>
      <c r="Q79">
        <v>0.15837498398052041</v>
      </c>
    </row>
    <row r="80" spans="1:17" x14ac:dyDescent="0.3">
      <c r="A80" t="s">
        <v>101</v>
      </c>
      <c r="B80" t="s">
        <v>83</v>
      </c>
      <c r="C80" s="2">
        <v>44153</v>
      </c>
      <c r="D80" t="s">
        <v>17</v>
      </c>
      <c r="E80" s="2">
        <v>35515</v>
      </c>
      <c r="F80">
        <f t="shared" si="1"/>
        <v>23</v>
      </c>
      <c r="G80">
        <v>70.2</v>
      </c>
      <c r="H80">
        <v>158.69999999999999</v>
      </c>
      <c r="I80">
        <v>27.872970722660369</v>
      </c>
      <c r="J80">
        <v>38.4</v>
      </c>
      <c r="K80">
        <v>558</v>
      </c>
      <c r="L80">
        <v>95</v>
      </c>
      <c r="M80">
        <v>95</v>
      </c>
      <c r="N80">
        <v>100.8776354282255</v>
      </c>
      <c r="O80">
        <v>108.2996947917692</v>
      </c>
      <c r="P80" t="s">
        <v>18</v>
      </c>
      <c r="Q80">
        <v>0.15070368918358409</v>
      </c>
    </row>
    <row r="81" spans="1:17" x14ac:dyDescent="0.3">
      <c r="A81" t="s">
        <v>102</v>
      </c>
      <c r="B81" t="s">
        <v>83</v>
      </c>
      <c r="C81" s="2">
        <v>44153</v>
      </c>
      <c r="D81" t="s">
        <v>17</v>
      </c>
      <c r="E81" s="2">
        <v>38468</v>
      </c>
      <c r="F81">
        <f t="shared" si="1"/>
        <v>15</v>
      </c>
      <c r="G81">
        <v>53.6</v>
      </c>
      <c r="H81">
        <v>163.4</v>
      </c>
      <c r="I81">
        <v>20.07523719492006</v>
      </c>
      <c r="J81">
        <v>26.5</v>
      </c>
      <c r="K81">
        <v>606</v>
      </c>
      <c r="L81">
        <v>90</v>
      </c>
      <c r="M81">
        <v>95</v>
      </c>
      <c r="N81">
        <v>97.040271712760784</v>
      </c>
      <c r="O81">
        <v>84.546735556599344</v>
      </c>
      <c r="P81" t="s">
        <v>18</v>
      </c>
      <c r="Q81">
        <v>0.12867726389642609</v>
      </c>
    </row>
    <row r="82" spans="1:17" x14ac:dyDescent="0.3">
      <c r="A82" t="s">
        <v>103</v>
      </c>
      <c r="B82" t="s">
        <v>83</v>
      </c>
      <c r="C82" s="2">
        <v>44159</v>
      </c>
      <c r="D82" t="s">
        <v>17</v>
      </c>
      <c r="E82" s="2">
        <v>35706</v>
      </c>
      <c r="F82">
        <f t="shared" si="1"/>
        <v>23</v>
      </c>
      <c r="G82">
        <v>66.400000000000006</v>
      </c>
      <c r="H82">
        <v>169.5</v>
      </c>
      <c r="I82">
        <v>23.111528789342241</v>
      </c>
      <c r="J82">
        <v>35.799999999999997</v>
      </c>
      <c r="K82">
        <v>519</v>
      </c>
      <c r="L82">
        <v>84</v>
      </c>
      <c r="M82">
        <v>83</v>
      </c>
      <c r="N82">
        <v>100.8776354282255</v>
      </c>
      <c r="O82">
        <v>59.072560795510483</v>
      </c>
      <c r="P82" t="s">
        <v>18</v>
      </c>
      <c r="Q82">
        <v>0.15481422712523249</v>
      </c>
    </row>
    <row r="83" spans="1:17" x14ac:dyDescent="0.3">
      <c r="A83" t="s">
        <v>104</v>
      </c>
      <c r="B83" t="s">
        <v>83</v>
      </c>
      <c r="C83" s="2">
        <v>44160</v>
      </c>
      <c r="D83" t="s">
        <v>17</v>
      </c>
      <c r="E83" s="2">
        <v>32891</v>
      </c>
      <c r="F83">
        <f t="shared" si="1"/>
        <v>30</v>
      </c>
      <c r="G83">
        <v>61.6</v>
      </c>
      <c r="H83">
        <v>162.80000000000001</v>
      </c>
      <c r="I83">
        <v>23.241915133807019</v>
      </c>
      <c r="J83">
        <v>28.9</v>
      </c>
      <c r="K83">
        <v>642</v>
      </c>
      <c r="L83">
        <v>118</v>
      </c>
      <c r="M83">
        <v>113</v>
      </c>
      <c r="N83">
        <v>156.73981191222569</v>
      </c>
      <c r="O83">
        <v>113.05241521068859</v>
      </c>
      <c r="P83" t="s">
        <v>18</v>
      </c>
      <c r="Q83">
        <v>0.17205116197236409</v>
      </c>
    </row>
    <row r="84" spans="1:17" x14ac:dyDescent="0.3">
      <c r="A84" t="s">
        <v>105</v>
      </c>
      <c r="B84" t="s">
        <v>83</v>
      </c>
      <c r="C84" s="2">
        <v>44165</v>
      </c>
      <c r="D84" t="s">
        <v>17</v>
      </c>
      <c r="E84" s="2">
        <v>34249</v>
      </c>
      <c r="F84">
        <f t="shared" si="1"/>
        <v>27</v>
      </c>
      <c r="G84">
        <v>49.3</v>
      </c>
      <c r="H84">
        <v>157.30000000000001</v>
      </c>
      <c r="I84">
        <v>19.924593697927801</v>
      </c>
      <c r="J84">
        <v>30.4</v>
      </c>
      <c r="K84">
        <v>648</v>
      </c>
      <c r="L84">
        <v>86</v>
      </c>
      <c r="M84">
        <v>91</v>
      </c>
      <c r="N84">
        <v>82.32993722342286</v>
      </c>
      <c r="O84">
        <v>100.8776354282256</v>
      </c>
      <c r="P84" t="s">
        <v>29</v>
      </c>
      <c r="Q84">
        <v>0.19570667773282149</v>
      </c>
    </row>
    <row r="85" spans="1:17" x14ac:dyDescent="0.3">
      <c r="A85" t="s">
        <v>106</v>
      </c>
      <c r="B85" t="s">
        <v>83</v>
      </c>
      <c r="C85" s="2">
        <v>44167</v>
      </c>
      <c r="D85" t="s">
        <v>17</v>
      </c>
      <c r="E85" s="2">
        <v>37616</v>
      </c>
      <c r="F85">
        <f t="shared" si="1"/>
        <v>17</v>
      </c>
      <c r="G85">
        <v>53.1</v>
      </c>
      <c r="H85">
        <v>158</v>
      </c>
      <c r="I85">
        <v>21.270629706777761</v>
      </c>
      <c r="J85">
        <v>26.6</v>
      </c>
      <c r="K85">
        <v>582</v>
      </c>
      <c r="L85">
        <v>82</v>
      </c>
      <c r="M85">
        <v>89</v>
      </c>
      <c r="N85">
        <v>146.95797002057409</v>
      </c>
      <c r="O85">
        <v>123.53891475814881</v>
      </c>
      <c r="P85" t="s">
        <v>18</v>
      </c>
      <c r="Q85">
        <v>0.16755398732354471</v>
      </c>
    </row>
    <row r="86" spans="1:17" x14ac:dyDescent="0.3">
      <c r="A86" t="s">
        <v>107</v>
      </c>
      <c r="B86" t="s">
        <v>83</v>
      </c>
      <c r="C86" s="2">
        <v>44167</v>
      </c>
      <c r="D86" t="s">
        <v>17</v>
      </c>
      <c r="E86" s="2">
        <v>36710</v>
      </c>
      <c r="F86">
        <f t="shared" si="1"/>
        <v>20</v>
      </c>
      <c r="G86">
        <v>81.2</v>
      </c>
      <c r="H86">
        <v>155.30000000000001</v>
      </c>
      <c r="I86">
        <v>33.66767434734674</v>
      </c>
      <c r="J86">
        <v>39.299999999999997</v>
      </c>
      <c r="K86">
        <v>588</v>
      </c>
      <c r="L86">
        <v>99</v>
      </c>
      <c r="M86">
        <v>95</v>
      </c>
      <c r="N86">
        <v>109.3439363817097</v>
      </c>
      <c r="O86">
        <v>87.040618955512585</v>
      </c>
      <c r="P86" t="s">
        <v>18</v>
      </c>
      <c r="Q86">
        <v>0.14237695078031209</v>
      </c>
    </row>
    <row r="87" spans="1:17" x14ac:dyDescent="0.3">
      <c r="A87" t="s">
        <v>108</v>
      </c>
      <c r="B87" t="s">
        <v>83</v>
      </c>
      <c r="C87" s="2">
        <v>44172</v>
      </c>
      <c r="D87" t="s">
        <v>17</v>
      </c>
      <c r="E87" s="2">
        <v>37127</v>
      </c>
      <c r="F87">
        <f t="shared" si="1"/>
        <v>19</v>
      </c>
      <c r="G87">
        <v>53.2</v>
      </c>
      <c r="H87">
        <v>149.80000000000001</v>
      </c>
      <c r="I87">
        <v>23.707622624558599</v>
      </c>
      <c r="J87">
        <v>30.2</v>
      </c>
      <c r="K87">
        <v>636</v>
      </c>
      <c r="L87">
        <v>99</v>
      </c>
      <c r="M87">
        <v>86</v>
      </c>
      <c r="N87">
        <v>79.137402314769005</v>
      </c>
      <c r="O87">
        <v>96.144601480626875</v>
      </c>
      <c r="P87" t="s">
        <v>29</v>
      </c>
      <c r="Q87">
        <v>0.1770542392400459</v>
      </c>
    </row>
    <row r="88" spans="1:17" x14ac:dyDescent="0.3">
      <c r="A88" t="s">
        <v>109</v>
      </c>
      <c r="B88" t="s">
        <v>83</v>
      </c>
      <c r="C88" s="2">
        <v>44174</v>
      </c>
      <c r="D88" t="s">
        <v>17</v>
      </c>
      <c r="E88" s="2">
        <v>38195</v>
      </c>
      <c r="F88">
        <f t="shared" si="1"/>
        <v>16</v>
      </c>
      <c r="G88">
        <v>60.4</v>
      </c>
      <c r="H88">
        <v>153.30000000000001</v>
      </c>
      <c r="I88">
        <v>25.70115429670961</v>
      </c>
      <c r="J88">
        <v>34.299999999999997</v>
      </c>
      <c r="K88">
        <v>522</v>
      </c>
      <c r="L88">
        <v>78</v>
      </c>
      <c r="M88">
        <v>80</v>
      </c>
      <c r="N88">
        <v>78.003120124804994</v>
      </c>
      <c r="O88">
        <v>103.9304610733182</v>
      </c>
      <c r="P88" t="s">
        <v>18</v>
      </c>
      <c r="Q88">
        <v>0.16186132324261249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Conrado Torres</cp:lastModifiedBy>
  <dcterms:created xsi:type="dcterms:W3CDTF">2025-06-11T17:05:44Z</dcterms:created>
  <dcterms:modified xsi:type="dcterms:W3CDTF">2025-09-09T20:49:56Z</dcterms:modified>
</cp:coreProperties>
</file>